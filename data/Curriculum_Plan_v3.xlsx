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7"/>
  <workbookPr/>
  <xr:revisionPtr revIDLastSave="0" documentId="8_{E364BBA0-8054-7F4F-8607-CDF37208C7F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توصيف المقرر التدريبي" sheetId="1" r:id="rId1"/>
    <sheet name="Data" sheetId="3" state="hidden" r:id="rId2"/>
  </sheets>
  <definedNames>
    <definedName name="ae" localSheetId="0">#REF!</definedName>
    <definedName name="ae">#REF!</definedName>
    <definedName name="AF4." localSheetId="0">#REF!</definedName>
    <definedName name="AF4.">#REF!</definedName>
    <definedName name="ff" localSheetId="0">#REF!</definedName>
    <definedName name="ff">#REF!</definedName>
    <definedName name="جديد" localSheetId="0">#REF!</definedName>
    <definedName name="جديد">#REF!</definedName>
    <definedName name="ع1" localSheetId="0">#REF!</definedName>
    <definedName name="ع10" localSheetId="0">#REF!</definedName>
    <definedName name="ع11" localSheetId="0">#REF!</definedName>
    <definedName name="ع12" localSheetId="0">#REF!</definedName>
    <definedName name="ع13" localSheetId="0">#REF!</definedName>
    <definedName name="ع14" localSheetId="0">#REF!</definedName>
    <definedName name="ع15" localSheetId="0">#REF!</definedName>
    <definedName name="ع16" localSheetId="0">#REF!</definedName>
    <definedName name="ع17" localSheetId="0">#REF!</definedName>
    <definedName name="ع18" localSheetId="0">#REF!</definedName>
    <definedName name="ع19" localSheetId="0">#REF!</definedName>
    <definedName name="ع2" localSheetId="0">#REF!</definedName>
    <definedName name="ع20" localSheetId="0">#REF!</definedName>
    <definedName name="ع21" localSheetId="0">#REF!</definedName>
    <definedName name="ع22" localSheetId="0">#REF!</definedName>
    <definedName name="ع23" localSheetId="0">#REF!</definedName>
    <definedName name="ع24" localSheetId="0">#REF!</definedName>
    <definedName name="ع3" localSheetId="0">#REF!</definedName>
    <definedName name="ع4" localSheetId="0">#REF!</definedName>
    <definedName name="ع5" localSheetId="0">#REF!</definedName>
    <definedName name="ع6" localSheetId="0">#REF!</definedName>
    <definedName name="ع7" localSheetId="0">#REF!</definedName>
    <definedName name="ع8" localSheetId="0">#REF!</definedName>
    <definedName name="ع9" localSheetId="0">#REF!</definedName>
    <definedName name="عنصر1" localSheetId="0">#REF!</definedName>
    <definedName name="عنصر10" localSheetId="0">#REF!</definedName>
    <definedName name="عنصر11" localSheetId="0">#REF!</definedName>
    <definedName name="عنصر12" localSheetId="0">#REF!</definedName>
    <definedName name="عنصر13" localSheetId="0">#REF!</definedName>
    <definedName name="عنصر14" localSheetId="0">#REF!</definedName>
    <definedName name="عنصر15" localSheetId="0">#REF!</definedName>
    <definedName name="عنصر16" localSheetId="0">#REF!</definedName>
    <definedName name="عنصر17" localSheetId="0">#REF!</definedName>
    <definedName name="عنصر18" localSheetId="0">#REF!</definedName>
    <definedName name="عنصر19" localSheetId="0">#REF!</definedName>
    <definedName name="عنصر2" localSheetId="0">#REF!</definedName>
    <definedName name="عنصر20" localSheetId="0">#REF!</definedName>
    <definedName name="عنصر21" localSheetId="0">#REF!</definedName>
    <definedName name="عنصر22" localSheetId="0">#REF!</definedName>
    <definedName name="عنصر23" localSheetId="0">#REF!</definedName>
    <definedName name="عنصر3" localSheetId="0">#REF!</definedName>
    <definedName name="عنصر4" localSheetId="0">#REF!</definedName>
    <definedName name="عنصر5" localSheetId="0">#REF!</definedName>
    <definedName name="عنصر6" localSheetId="0">#REF!</definedName>
    <definedName name="عنصر7" localSheetId="0">#REF!</definedName>
    <definedName name="عنصر8" localSheetId="0">#REF!</definedName>
    <definedName name="عنصر9" localSheetId="0">#REF!</definedName>
    <definedName name="ل28" localSheetId="0">#REF!</definedName>
    <definedName name="ل28">#REF!</definedName>
    <definedName name="ى546" localSheetId="0">#REF!</definedName>
    <definedName name="ى546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283" i="1" l="1"/>
  <c r="BK283" i="1"/>
  <c r="CX279" i="1"/>
  <c r="BK279" i="1"/>
  <c r="P279" i="1"/>
  <c r="BJ227" i="1"/>
  <c r="AH227" i="1"/>
  <c r="DC227" i="1"/>
  <c r="CL227" i="1"/>
  <c r="BI225" i="1"/>
  <c r="AG225" i="1"/>
  <c r="BE222" i="1"/>
  <c r="DF221" i="1"/>
  <c r="BE221" i="1"/>
  <c r="E221" i="1"/>
  <c r="AJ34" i="1"/>
</calcChain>
</file>

<file path=xl/sharedStrings.xml><?xml version="1.0" encoding="utf-8"?>
<sst xmlns="http://schemas.openxmlformats.org/spreadsheetml/2006/main" count="362" uniqueCount="203">
  <si>
    <t>الإدارة العامة لجودة التدريب</t>
  </si>
  <si>
    <t>اكتب اسم المنشأة التدريبية</t>
  </si>
  <si>
    <t>ملف المدرب وتوصيف المقرر التدريبي</t>
  </si>
  <si>
    <t>رقم المدرب</t>
  </si>
  <si>
    <t>اسم/رقم المبنى</t>
  </si>
  <si>
    <t>اسم المدرب</t>
  </si>
  <si>
    <t>اسم/رقم المكتب</t>
  </si>
  <si>
    <t>القسم التدريبي</t>
  </si>
  <si>
    <t>البريد الالكتروني</t>
  </si>
  <si>
    <t>آلية التواصل
مع
مدرب المقرر</t>
  </si>
  <si>
    <t>: (</t>
  </si>
  <si>
    <t>)</t>
  </si>
  <si>
    <t>الساعات المكتبية</t>
  </si>
  <si>
    <t>الأحد</t>
  </si>
  <si>
    <t>الأثنين</t>
  </si>
  <si>
    <t>الثلاثاء</t>
  </si>
  <si>
    <t>الاربعاء</t>
  </si>
  <si>
    <t>الخميس</t>
  </si>
  <si>
    <t>من</t>
  </si>
  <si>
    <t>-</t>
  </si>
  <si>
    <t>إلى</t>
  </si>
  <si>
    <t>د</t>
  </si>
  <si>
    <t>س</t>
  </si>
  <si>
    <t>:</t>
  </si>
  <si>
    <t>آلية التواصل
مع
رئيس القسم</t>
  </si>
  <si>
    <r>
      <rPr>
        <b/>
        <sz val="13"/>
        <color rgb="FF616365"/>
        <rFont val="Sakkal Majalla"/>
      </rPr>
      <t xml:space="preserve">تنويه: </t>
    </r>
    <r>
      <rPr>
        <b/>
        <sz val="13"/>
        <color rgb="FFFF0000"/>
        <rFont val="Sakkal Majalla"/>
      </rPr>
      <t>عند حاجة المتدرب للتواصل مع مدرب المقرر أو رئيس القسم يجب أن يتم التواصل من البريد الإلكتروني للمتدرب ( tvtc.edu.sa@رقم المتدرب ).</t>
    </r>
  </si>
  <si>
    <t>ساعات الاتصال</t>
  </si>
  <si>
    <t>التخصص</t>
  </si>
  <si>
    <t>الساعات المعتمدة</t>
  </si>
  <si>
    <t>رمز المقرر</t>
  </si>
  <si>
    <t>نمط التدريب</t>
  </si>
  <si>
    <t>اسم المقرر</t>
  </si>
  <si>
    <t>مستوى المقرر</t>
  </si>
  <si>
    <t>نوع التدريب</t>
  </si>
  <si>
    <t>المتطلب السابق</t>
  </si>
  <si>
    <t>وصف المقرر</t>
  </si>
  <si>
    <t>الهدف العام</t>
  </si>
  <si>
    <t>الأهداف التفصيلية</t>
  </si>
  <si>
    <t>لبدء سطر جديد اضغط على Alt + Enter</t>
  </si>
  <si>
    <t>التجهيزات والخامات التدريبية</t>
  </si>
  <si>
    <t>تعليمات واشتراطات السلامة عند التدريب</t>
  </si>
  <si>
    <t xml:space="preserve">أسبوع </t>
  </si>
  <si>
    <t>الوحدات ( النظرية والعملية )</t>
  </si>
  <si>
    <t>ساعات</t>
  </si>
  <si>
    <t>استراتيجية</t>
  </si>
  <si>
    <t>أدوات</t>
  </si>
  <si>
    <t>درجة</t>
  </si>
  <si>
    <t>التدريب</t>
  </si>
  <si>
    <t>موضوع المحاضرة</t>
  </si>
  <si>
    <t>أن يكون المتدرب قادراً وبكفاءة على أن:</t>
  </si>
  <si>
    <t>التدريب المستخدمة</t>
  </si>
  <si>
    <t>التقييم</t>
  </si>
  <si>
    <t>الأول</t>
  </si>
  <si>
    <t>1ـ 1</t>
  </si>
  <si>
    <t>1ـ 2</t>
  </si>
  <si>
    <t>1ـ 3</t>
  </si>
  <si>
    <t>الثاني</t>
  </si>
  <si>
    <t>2ـ 1</t>
  </si>
  <si>
    <t>2ـ 2</t>
  </si>
  <si>
    <t>2ـ 3</t>
  </si>
  <si>
    <t>الثالث</t>
  </si>
  <si>
    <t>3ـ 1</t>
  </si>
  <si>
    <t>3ـ 2</t>
  </si>
  <si>
    <t>3ـ 3</t>
  </si>
  <si>
    <t>الرابع</t>
  </si>
  <si>
    <t>4ـ 1</t>
  </si>
  <si>
    <t>4ـ 2</t>
  </si>
  <si>
    <t>4ـ 3</t>
  </si>
  <si>
    <t>الخامس</t>
  </si>
  <si>
    <t>5ـ 1</t>
  </si>
  <si>
    <t>5ـ 2</t>
  </si>
  <si>
    <t>5ـ 3</t>
  </si>
  <si>
    <t>السادس</t>
  </si>
  <si>
    <t>6ـ 1</t>
  </si>
  <si>
    <t>6ـ 2</t>
  </si>
  <si>
    <t>6ـ 3</t>
  </si>
  <si>
    <t>السابع</t>
  </si>
  <si>
    <t>7ـ 1</t>
  </si>
  <si>
    <t>7ـ 2</t>
  </si>
  <si>
    <t>7ـ 3</t>
  </si>
  <si>
    <t>الثامن</t>
  </si>
  <si>
    <t>8ـ 1</t>
  </si>
  <si>
    <t>8ـ 2</t>
  </si>
  <si>
    <t>8ـ 3</t>
  </si>
  <si>
    <t>التاسع</t>
  </si>
  <si>
    <t>9ـ 1</t>
  </si>
  <si>
    <t>9ـ 2</t>
  </si>
  <si>
    <t>9ـ 3</t>
  </si>
  <si>
    <t>العاشر</t>
  </si>
  <si>
    <t>10ـ 1</t>
  </si>
  <si>
    <t>10ـ 2</t>
  </si>
  <si>
    <t>10ـ 3</t>
  </si>
  <si>
    <t>الحادي
عشر</t>
  </si>
  <si>
    <t>11ـ 1</t>
  </si>
  <si>
    <t>11ـ 2</t>
  </si>
  <si>
    <t>11ـ 3</t>
  </si>
  <si>
    <t>الثاني
عشر</t>
  </si>
  <si>
    <t>12ـ 1</t>
  </si>
  <si>
    <t>12ـ 2</t>
  </si>
  <si>
    <t>12ـ 3</t>
  </si>
  <si>
    <t>الثالث
عشر</t>
  </si>
  <si>
    <t>13ـ 1</t>
  </si>
  <si>
    <t>13ـ 2</t>
  </si>
  <si>
    <t>13ـ 3</t>
  </si>
  <si>
    <t>الرابع
عشر</t>
  </si>
  <si>
    <t>14ـ 1</t>
  </si>
  <si>
    <t>14ـ 2</t>
  </si>
  <si>
    <t>14ـ 3</t>
  </si>
  <si>
    <t>الخامس
عشر</t>
  </si>
  <si>
    <t>15ـ 1</t>
  </si>
  <si>
    <t>15ـ 2</t>
  </si>
  <si>
    <t>15ـ 3</t>
  </si>
  <si>
    <t>السادس
عشر</t>
  </si>
  <si>
    <t>16ـ 1</t>
  </si>
  <si>
    <t>16ـ 2</t>
  </si>
  <si>
    <t>16ـ 3</t>
  </si>
  <si>
    <t>السابع
عشر</t>
  </si>
  <si>
    <t>17ـ 1</t>
  </si>
  <si>
    <t>17ـ 2</t>
  </si>
  <si>
    <t>17ـ 3</t>
  </si>
  <si>
    <t>الثامن
عشر</t>
  </si>
  <si>
    <t>18ـ 1</t>
  </si>
  <si>
    <t>18ـ 2</t>
  </si>
  <si>
    <t>18ـ 3</t>
  </si>
  <si>
    <t>التاسع
عشر</t>
  </si>
  <si>
    <t>19ـ 1</t>
  </si>
  <si>
    <t>19ـ 2</t>
  </si>
  <si>
    <t>مجموع درجات التقييمات من ( 100 ) درجة</t>
  </si>
  <si>
    <r>
      <rPr>
        <b/>
        <sz val="10"/>
        <color rgb="FF616365"/>
        <rFont val="Sakkal Majalla"/>
      </rPr>
      <t xml:space="preserve">تنويه: </t>
    </r>
    <r>
      <rPr>
        <b/>
        <sz val="10"/>
        <color rgb="FFFF0000"/>
        <rFont val="Sakkal Majalla"/>
      </rPr>
      <t>يمكن التعرف على طرق ووسائل التدريب من خلال الرابط</t>
    </r>
    <r>
      <rPr>
        <b/>
        <sz val="10"/>
        <color rgb="FF616365"/>
        <rFont val="Sakkal Majalla"/>
      </rPr>
      <t xml:space="preserve"> ( </t>
    </r>
    <r>
      <rPr>
        <b/>
        <sz val="10"/>
        <color rgb="FF0000FF"/>
        <rFont val="Sakkal Majalla"/>
      </rPr>
      <t>اضغط هنا</t>
    </r>
    <r>
      <rPr>
        <b/>
        <sz val="10"/>
        <color rgb="FF616365"/>
        <rFont val="Sakkal Majalla"/>
      </rPr>
      <t xml:space="preserve"> ).</t>
    </r>
  </si>
  <si>
    <t>مجموع الدرجات من ( 100 ) درجة</t>
  </si>
  <si>
    <t xml:space="preserve">المرجع الرئيسي للمقرر </t>
  </si>
  <si>
    <t>المواقع الإلكترونية</t>
  </si>
  <si>
    <t>منصات الكترونية</t>
  </si>
  <si>
    <t>بوابة التدريب الالكتروني ( تقني )</t>
  </si>
  <si>
    <t>المراجع الرقمية المساعدة</t>
  </si>
  <si>
    <t>Blackboard Learn</t>
  </si>
  <si>
    <t>http://elearning.edu.sa/OLib/</t>
  </si>
  <si>
    <t>مجالات التقييم</t>
  </si>
  <si>
    <t>المقيمون</t>
  </si>
  <si>
    <t>رابط التقييم</t>
  </si>
  <si>
    <t>الحقيبة التدريبية</t>
  </si>
  <si>
    <t>مدرب/مدربة المقرر</t>
  </si>
  <si>
    <t>قياس رضا المدرب/المدربة عن الحقيبة التدريبية</t>
  </si>
  <si>
    <t>الخطة التدريبية</t>
  </si>
  <si>
    <t>قياس رضا المدرب/المدربة عن الخطة التدريبية</t>
  </si>
  <si>
    <t>المتدرب/المتدربة</t>
  </si>
  <si>
    <t>قياس رضا المتدرب/المتدربة عن الحقيبة التدريبية</t>
  </si>
  <si>
    <t>قياس رضا المتدرب/المتدربة عن جودة وملائمة ملف المدرب وتوصيف المقرر</t>
  </si>
  <si>
    <t>نظام رايات</t>
  </si>
  <si>
    <t>الخطط التدريبية</t>
  </si>
  <si>
    <t>بريد المتدرب</t>
  </si>
  <si>
    <t>دليل المتدرب</t>
  </si>
  <si>
    <t>المحتوي التدريبي</t>
  </si>
  <si>
    <t>اسم مدرب المقرر:</t>
  </si>
  <si>
    <t>البريد الالكتروني:</t>
  </si>
  <si>
    <t>التاريخ:</t>
  </si>
  <si>
    <t>اسم رئيس القسم:</t>
  </si>
  <si>
    <t>تدريب حضوري</t>
  </si>
  <si>
    <t>عملي</t>
  </si>
  <si>
    <t>لا يوجد</t>
  </si>
  <si>
    <t>الأيام</t>
  </si>
  <si>
    <t>الاستراتيجيات التدريبية</t>
  </si>
  <si>
    <t>أدوات التقييم</t>
  </si>
  <si>
    <t>تدريب المقرر</t>
  </si>
  <si>
    <t>نوع المقرر</t>
  </si>
  <si>
    <t>التدريب بالاكتشاف</t>
  </si>
  <si>
    <t>نظري</t>
  </si>
  <si>
    <t>إجباري</t>
  </si>
  <si>
    <t>التطبيق العملي</t>
  </si>
  <si>
    <t>التفكير الناقد</t>
  </si>
  <si>
    <t>واجب</t>
  </si>
  <si>
    <t>اختياري</t>
  </si>
  <si>
    <t>تدريب عن بُعد</t>
  </si>
  <si>
    <t>المشروع</t>
  </si>
  <si>
    <t>الخرائط المفاهيمية</t>
  </si>
  <si>
    <t>مشروع</t>
  </si>
  <si>
    <t>نظري وعملي</t>
  </si>
  <si>
    <t>تدريب ذاتي</t>
  </si>
  <si>
    <t>طريقة K.W.L</t>
  </si>
  <si>
    <t>الأربعاء</t>
  </si>
  <si>
    <t>العصف الذهني</t>
  </si>
  <si>
    <t>اختبار قصير</t>
  </si>
  <si>
    <t>تدريب مدمج</t>
  </si>
  <si>
    <t>العمل الجماعي</t>
  </si>
  <si>
    <t xml:space="preserve">تقييم نظري </t>
  </si>
  <si>
    <t>التدريب البنائي</t>
  </si>
  <si>
    <t>المشروعات</t>
  </si>
  <si>
    <t>تقييم عملي</t>
  </si>
  <si>
    <t>نظرية ( TRYZ )</t>
  </si>
  <si>
    <t>المناقشة</t>
  </si>
  <si>
    <t>اختبار ( 1 )</t>
  </si>
  <si>
    <t>حل المشكلات</t>
  </si>
  <si>
    <t>اختبار ( 2 )</t>
  </si>
  <si>
    <t>التدريب المعكوس</t>
  </si>
  <si>
    <t>فَكِّرْ، ناقِشْ، شَارِكْ</t>
  </si>
  <si>
    <t>اختبار ( 3 )</t>
  </si>
  <si>
    <t>التدريب بالمحاكاة</t>
  </si>
  <si>
    <t>اختبار نصفي</t>
  </si>
  <si>
    <t>دراسة الحالة</t>
  </si>
  <si>
    <t>اختبار نهائي</t>
  </si>
  <si>
    <t>التدريب المتمايز</t>
  </si>
  <si>
    <t>تمثيل الأدوار</t>
  </si>
  <si>
    <t>المحاضرة النظرية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</si>
</sst>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000000%"/>
    <numFmt numFmtId="165" formatCode="00"/>
    <numFmt numFmtId="166" formatCode="[$-1010000]yyyy/mm/dd"/>
    <numFmt numFmtId="167" formatCode="[$-1170401]B2dddd\,\ dd\ mmmm\,\ yyyy"/>
  </numFmts>
  <fonts count="55" x14ac:knownFonts="1">
    <font>
      <sz val="11"/>
      <color theme="1"/>
      <name val="Arial"/>
      <scheme val="minor"/>
    </font>
    <font>
      <sz val="16"/>
      <color theme="1"/>
      <name val="Arial"/>
    </font>
    <font>
      <sz val="16"/>
      <color rgb="FF0000FF"/>
      <name val="Sakkal Majalla"/>
    </font>
    <font>
      <sz val="12"/>
      <color theme="1"/>
      <name val="Sakkal Majalla"/>
    </font>
    <font>
      <sz val="11"/>
      <color theme="1"/>
      <name val="Arial"/>
    </font>
    <font>
      <b/>
      <sz val="22"/>
      <color rgb="FF616365"/>
      <name val="Sakkal Majalla"/>
    </font>
    <font>
      <b/>
      <sz val="25"/>
      <color rgb="FF0000FF"/>
      <name val="Sakkal Majalla"/>
    </font>
    <font>
      <b/>
      <sz val="25"/>
      <color rgb="FF616365"/>
      <name val="Sakkal Majalla"/>
    </font>
    <font>
      <b/>
      <sz val="20"/>
      <color rgb="FF616365"/>
      <name val="Sakkal Majalla"/>
    </font>
    <font>
      <b/>
      <sz val="27"/>
      <color rgb="FF0000FF"/>
      <name val="Sakkal Majalla"/>
    </font>
    <font>
      <sz val="15"/>
      <color rgb="FFD9D9D9"/>
      <name val="Sakkal Majalla"/>
    </font>
    <font>
      <sz val="10"/>
      <color theme="0"/>
      <name val="Sakkal Majalla"/>
    </font>
    <font>
      <b/>
      <sz val="10"/>
      <color theme="0"/>
      <name val="Sakkal Majalla"/>
    </font>
    <font>
      <b/>
      <sz val="10"/>
      <color rgb="FFF2F2F2"/>
      <name val="Sakkal Majalla"/>
    </font>
    <font>
      <u/>
      <sz val="10"/>
      <color theme="0"/>
      <name val="Sakkal Majalla"/>
    </font>
    <font>
      <sz val="10"/>
      <color theme="0"/>
      <name val="Arial"/>
    </font>
    <font>
      <b/>
      <sz val="40"/>
      <color rgb="FF616365"/>
      <name val="Sakkal Majalla"/>
    </font>
    <font>
      <u/>
      <sz val="15"/>
      <color theme="10"/>
      <name val="Sakkal Majalla"/>
    </font>
    <font>
      <b/>
      <sz val="15"/>
      <color rgb="FF616365"/>
      <name val="Sakkal Majalla"/>
    </font>
    <font>
      <sz val="11"/>
      <name val="Arial"/>
    </font>
    <font>
      <b/>
      <sz val="14"/>
      <color rgb="FF0070C0"/>
      <name val="Sakkal Majalla"/>
    </font>
    <font>
      <b/>
      <sz val="14"/>
      <color rgb="FF616365"/>
      <name val="Sakkal Majalla"/>
    </font>
    <font>
      <b/>
      <sz val="10"/>
      <color rgb="FF616365"/>
      <name val="Sakkal Majalla"/>
    </font>
    <font>
      <b/>
      <sz val="16"/>
      <color rgb="FF616365"/>
      <name val="Sakkal Majalla"/>
    </font>
    <font>
      <sz val="10"/>
      <color rgb="FF616365"/>
      <name val="Sakkal Majalla"/>
    </font>
    <font>
      <b/>
      <sz val="12"/>
      <color rgb="FF0070C0"/>
      <name val="Sakkal Majalla"/>
    </font>
    <font>
      <b/>
      <sz val="13"/>
      <color rgb="FF616365"/>
      <name val="Sakkal Majalla"/>
    </font>
    <font>
      <b/>
      <sz val="12"/>
      <color theme="4"/>
      <name val="Sakkal Majalla"/>
    </font>
    <font>
      <sz val="12"/>
      <color rgb="FF616365"/>
      <name val="Sakkal Majalla"/>
    </font>
    <font>
      <b/>
      <sz val="8"/>
      <color rgb="FF616365"/>
      <name val="Sakkal Majalla"/>
    </font>
    <font>
      <b/>
      <sz val="50"/>
      <color rgb="FF757070"/>
      <name val="Cairo"/>
    </font>
    <font>
      <b/>
      <sz val="35"/>
      <color rgb="FF757070"/>
      <name val="Cairo"/>
    </font>
    <font>
      <b/>
      <sz val="40"/>
      <color rgb="FF757070"/>
      <name val="Cairo"/>
    </font>
    <font>
      <b/>
      <sz val="15"/>
      <color rgb="FF0070C0"/>
      <name val="Sakkal Majalla"/>
    </font>
    <font>
      <b/>
      <sz val="15"/>
      <color rgb="FF616365"/>
      <name val="Cairo"/>
    </font>
    <font>
      <b/>
      <sz val="13"/>
      <color theme="1"/>
      <name val="Sakkal Majalla"/>
    </font>
    <font>
      <b/>
      <sz val="13"/>
      <color rgb="FF0070C0"/>
      <name val="Sakkal Majalla"/>
    </font>
    <font>
      <b/>
      <sz val="11"/>
      <color rgb="FF0070C0"/>
      <name val="Sakkal Majalla"/>
    </font>
    <font>
      <sz val="10"/>
      <color rgb="FFFF0000"/>
      <name val="Sakkal Majalla"/>
    </font>
    <font>
      <b/>
      <sz val="11"/>
      <color rgb="FF616365"/>
      <name val="Sakkal Majalla"/>
    </font>
    <font>
      <sz val="15"/>
      <color theme="0"/>
      <name val="Sakkal Majalla"/>
    </font>
    <font>
      <b/>
      <sz val="9"/>
      <color rgb="FF0000FF"/>
      <name val="Sakkal Majalla"/>
    </font>
    <font>
      <b/>
      <sz val="9"/>
      <color rgb="FF616365"/>
      <name val="Sakkal Majalla"/>
    </font>
    <font>
      <b/>
      <sz val="10"/>
      <color rgb="FF0070C0"/>
      <name val="Sakkal Majalla"/>
    </font>
    <font>
      <sz val="11"/>
      <color theme="0"/>
      <name val="Arial"/>
    </font>
    <font>
      <b/>
      <sz val="2"/>
      <color rgb="FFE7E6E6"/>
      <name val="Sakkal Majalla"/>
    </font>
    <font>
      <b/>
      <sz val="12"/>
      <color rgb="FF616365"/>
      <name val="Sakkal Majalla"/>
    </font>
    <font>
      <b/>
      <sz val="8"/>
      <color rgb="FF616365"/>
      <name val="Noto Sans Symbols"/>
    </font>
    <font>
      <b/>
      <sz val="14"/>
      <color rgb="FF616365"/>
      <name val="Cairo"/>
    </font>
    <font>
      <b/>
      <sz val="16"/>
      <color theme="0"/>
      <name val="Sakkal Majalla"/>
    </font>
    <font>
      <b/>
      <sz val="11"/>
      <color theme="1"/>
      <name val="Sakkal Majalla"/>
    </font>
    <font>
      <sz val="11"/>
      <color theme="1"/>
      <name val="Sakkal Majalla"/>
    </font>
    <font>
      <b/>
      <sz val="13"/>
      <color rgb="FFFF0000"/>
      <name val="Sakkal Majalla"/>
    </font>
    <font>
      <b/>
      <sz val="10"/>
      <color rgb="FFFF0000"/>
      <name val="Sakkal Majalla"/>
    </font>
    <font>
      <b/>
      <sz val="10"/>
      <color rgb="FF0000FF"/>
      <name val="Sakkal Majalla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3B7D98"/>
        <bgColor rgb="FF3B7D98"/>
      </patternFill>
    </fill>
  </fills>
  <borders count="84">
    <border>
      <left/>
      <right/>
      <top/>
      <bottom/>
      <diagonal/>
    </border>
    <border>
      <left/>
      <right/>
      <top style="thick">
        <color rgb="FF75707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/>
      <diagonal/>
    </border>
    <border>
      <left style="thin">
        <color rgb="FFD0CECE"/>
      </left>
      <right/>
      <top style="thin">
        <color rgb="FFD0CECE"/>
      </top>
      <bottom/>
      <diagonal/>
    </border>
    <border>
      <left/>
      <right/>
      <top style="thin">
        <color rgb="FFD0CECE"/>
      </top>
      <bottom/>
      <diagonal/>
    </border>
    <border>
      <left/>
      <right style="thin">
        <color rgb="FFD0CECE"/>
      </right>
      <top style="thin">
        <color rgb="FFD0CECE"/>
      </top>
      <bottom/>
      <diagonal/>
    </border>
    <border>
      <left style="thin">
        <color rgb="FFD0CECE"/>
      </left>
      <right/>
      <top/>
      <bottom/>
      <diagonal/>
    </border>
    <border>
      <left style="thin">
        <color rgb="FFAEABAB"/>
      </left>
      <right/>
      <top style="thin">
        <color rgb="FFAEABAB"/>
      </top>
      <bottom/>
      <diagonal/>
    </border>
    <border>
      <left/>
      <right/>
      <top style="thin">
        <color rgb="FFAEABAB"/>
      </top>
      <bottom/>
      <diagonal/>
    </border>
    <border>
      <left/>
      <right style="thin">
        <color rgb="FFAEABAB"/>
      </right>
      <top style="thin">
        <color rgb="FFAEABAB"/>
      </top>
      <bottom/>
      <diagonal/>
    </border>
    <border>
      <left/>
      <right style="thin">
        <color rgb="FFD0CECE"/>
      </right>
      <top/>
      <bottom/>
      <diagonal/>
    </border>
    <border>
      <left style="thin">
        <color rgb="FFAEABAB"/>
      </left>
      <right/>
      <top/>
      <bottom/>
      <diagonal/>
    </border>
    <border>
      <left/>
      <right style="thin">
        <color rgb="FFAEABAB"/>
      </right>
      <top/>
      <bottom/>
      <diagonal/>
    </border>
    <border>
      <left style="thin">
        <color rgb="FFD0CECE"/>
      </left>
      <right/>
      <top/>
      <bottom style="thin">
        <color rgb="FFD0CECE"/>
      </bottom>
      <diagonal/>
    </border>
    <border>
      <left/>
      <right/>
      <top/>
      <bottom style="thin">
        <color rgb="FFD0CECE"/>
      </bottom>
      <diagonal/>
    </border>
    <border>
      <left/>
      <right style="thin">
        <color rgb="FFD0CECE"/>
      </right>
      <top/>
      <bottom style="thin">
        <color rgb="FFD0CECE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/>
      <right/>
      <top style="thin">
        <color rgb="FFAEABAB"/>
      </top>
      <bottom style="thin">
        <color rgb="FFAEABAB"/>
      </bottom>
      <diagonal/>
    </border>
    <border>
      <left/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/>
      <right/>
      <top/>
      <bottom style="thin">
        <color rgb="FFAEABAB"/>
      </bottom>
      <diagonal/>
    </border>
    <border>
      <left/>
      <right style="thin">
        <color rgb="FFAEABAB"/>
      </right>
      <top/>
      <bottom style="thin">
        <color rgb="FFAEABAB"/>
      </bottom>
      <diagonal/>
    </border>
    <border>
      <left style="thin">
        <color rgb="FFD0CECE"/>
      </left>
      <right/>
      <top style="thin">
        <color rgb="FFD0CECE"/>
      </top>
      <bottom style="thin">
        <color rgb="FFD0CECE"/>
      </bottom>
      <diagonal/>
    </border>
    <border>
      <left/>
      <right/>
      <top style="thin">
        <color rgb="FFD0CECE"/>
      </top>
      <bottom style="thin">
        <color rgb="FFD0CECE"/>
      </bottom>
      <diagonal/>
    </border>
    <border>
      <left/>
      <right style="thin">
        <color rgb="FFD0CECE"/>
      </right>
      <top style="thin">
        <color rgb="FFD0CECE"/>
      </top>
      <bottom style="thin">
        <color rgb="FFD0CECE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0CECE"/>
      </bottom>
      <diagonal/>
    </border>
    <border>
      <left/>
      <right/>
      <top/>
      <bottom style="thin">
        <color rgb="FFD0CECE"/>
      </bottom>
      <diagonal/>
    </border>
    <border>
      <left/>
      <right/>
      <top/>
      <bottom style="thin">
        <color rgb="FFD0CECE"/>
      </bottom>
      <diagonal/>
    </border>
    <border>
      <left style="thick">
        <color rgb="FFD0CECE"/>
      </left>
      <right/>
      <top/>
      <bottom/>
      <diagonal/>
    </border>
    <border>
      <left/>
      <right style="thin">
        <color rgb="FFE7E6E6"/>
      </right>
      <top/>
      <bottom/>
      <diagonal/>
    </border>
    <border>
      <left style="thin">
        <color rgb="FFE7E6E6"/>
      </left>
      <right/>
      <top/>
      <bottom/>
      <diagonal/>
    </border>
    <border>
      <left/>
      <right style="thick">
        <color rgb="FFD0CECE"/>
      </right>
      <top/>
      <bottom/>
      <diagonal/>
    </border>
    <border>
      <left style="thick">
        <color rgb="FFD0CECE"/>
      </left>
      <right/>
      <top/>
      <bottom style="thick">
        <color rgb="FFD0CECE"/>
      </bottom>
      <diagonal/>
    </border>
    <border>
      <left/>
      <right style="thick">
        <color rgb="FFD0CECE"/>
      </right>
      <top/>
      <bottom style="thick">
        <color rgb="FFD0CECE"/>
      </bottom>
      <diagonal/>
    </border>
    <border>
      <left style="thick">
        <color rgb="FFD0CECE"/>
      </left>
      <right/>
      <top style="thick">
        <color rgb="FFD0CECE"/>
      </top>
      <bottom/>
      <diagonal/>
    </border>
    <border>
      <left/>
      <right/>
      <top style="thick">
        <color rgb="FFD0CECE"/>
      </top>
      <bottom/>
      <diagonal/>
    </border>
    <border>
      <left/>
      <right style="thin">
        <color rgb="FFD0CECE"/>
      </right>
      <top style="thick">
        <color rgb="FFD0CECE"/>
      </top>
      <bottom/>
      <diagonal/>
    </border>
    <border>
      <left style="thin">
        <color rgb="FFD0CECE"/>
      </left>
      <right/>
      <top style="thick">
        <color rgb="FFD0CECE"/>
      </top>
      <bottom style="thin">
        <color rgb="FFD0CECE"/>
      </bottom>
      <diagonal/>
    </border>
    <border>
      <left/>
      <right/>
      <top style="thick">
        <color rgb="FFD0CECE"/>
      </top>
      <bottom style="thin">
        <color rgb="FFD0CECE"/>
      </bottom>
      <diagonal/>
    </border>
    <border>
      <left/>
      <right style="thin">
        <color rgb="FFD0CECE"/>
      </right>
      <top style="thick">
        <color rgb="FFD0CECE"/>
      </top>
      <bottom style="thin">
        <color rgb="FFD0CECE"/>
      </bottom>
      <diagonal/>
    </border>
    <border>
      <left/>
      <right style="thick">
        <color rgb="FFD0CECE"/>
      </right>
      <top style="thick">
        <color rgb="FFD0CECE"/>
      </top>
      <bottom style="thin">
        <color rgb="FFD0CECE"/>
      </bottom>
      <diagonal/>
    </border>
    <border>
      <left style="thick">
        <color rgb="FFD0CECE"/>
      </left>
      <right/>
      <top/>
      <bottom/>
      <diagonal/>
    </border>
    <border>
      <left/>
      <right style="thin">
        <color rgb="FFD0CECE"/>
      </right>
      <top/>
      <bottom/>
      <diagonal/>
    </border>
    <border>
      <left/>
      <right style="thick">
        <color rgb="FFD0CECE"/>
      </right>
      <top style="thin">
        <color rgb="FFD0CECE"/>
      </top>
      <bottom style="thin">
        <color rgb="FFD0CECE"/>
      </bottom>
      <diagonal/>
    </border>
    <border>
      <left style="thick">
        <color rgb="FFD0CECE"/>
      </left>
      <right/>
      <top/>
      <bottom style="thick">
        <color rgb="FFD0CECE"/>
      </bottom>
      <diagonal/>
    </border>
    <border>
      <left/>
      <right/>
      <top/>
      <bottom style="thick">
        <color rgb="FFD0CECE"/>
      </bottom>
      <diagonal/>
    </border>
    <border>
      <left/>
      <right style="thin">
        <color rgb="FFD0CECE"/>
      </right>
      <top/>
      <bottom style="thick">
        <color rgb="FFD0CECE"/>
      </bottom>
      <diagonal/>
    </border>
    <border>
      <left style="thin">
        <color rgb="FFD0CECE"/>
      </left>
      <right/>
      <top style="thin">
        <color rgb="FFD0CECE"/>
      </top>
      <bottom style="thick">
        <color rgb="FFD0CECE"/>
      </bottom>
      <diagonal/>
    </border>
    <border>
      <left/>
      <right/>
      <top style="thin">
        <color rgb="FFD0CECE"/>
      </top>
      <bottom style="thick">
        <color rgb="FFD0CECE"/>
      </bottom>
      <diagonal/>
    </border>
    <border>
      <left/>
      <right style="thin">
        <color rgb="FFD0CECE"/>
      </right>
      <top style="thin">
        <color rgb="FFD0CECE"/>
      </top>
      <bottom style="thick">
        <color rgb="FFD0CECE"/>
      </bottom>
      <diagonal/>
    </border>
    <border>
      <left/>
      <right style="thick">
        <color rgb="FFD0CECE"/>
      </right>
      <top style="thin">
        <color rgb="FFD0CECE"/>
      </top>
      <bottom style="thick">
        <color rgb="FFD0CECE"/>
      </bottom>
      <diagonal/>
    </border>
    <border>
      <left style="thin">
        <color rgb="FFD0CECE"/>
      </left>
      <right/>
      <top style="thick">
        <color rgb="FFD0CECE"/>
      </top>
      <bottom/>
      <diagonal/>
    </border>
    <border>
      <left style="thin">
        <color rgb="FFD0CECE"/>
      </left>
      <right/>
      <top/>
      <bottom/>
      <diagonal/>
    </border>
    <border>
      <left style="thin">
        <color rgb="FFD0CECE"/>
      </left>
      <right/>
      <top/>
      <bottom style="thick">
        <color rgb="FFD0CECE"/>
      </bottom>
      <diagonal/>
    </border>
    <border>
      <left style="thick">
        <color rgb="FFE7E6E6"/>
      </left>
      <right/>
      <top/>
      <bottom/>
      <diagonal/>
    </border>
    <border>
      <left/>
      <right/>
      <top/>
      <bottom style="thin">
        <color rgb="FFD0CECE"/>
      </bottom>
      <diagonal/>
    </border>
    <border>
      <left/>
      <right/>
      <top/>
      <bottom style="thin">
        <color rgb="FFD0CECE"/>
      </bottom>
      <diagonal/>
    </border>
    <border>
      <left/>
      <right/>
      <top/>
      <bottom style="thin">
        <color rgb="FFD0CECE"/>
      </bottom>
      <diagonal/>
    </border>
    <border>
      <left style="thin">
        <color rgb="FFD0CECE"/>
      </left>
      <right/>
      <top style="thin">
        <color rgb="FFD0CECE"/>
      </top>
      <bottom/>
      <diagonal/>
    </border>
    <border>
      <left/>
      <right/>
      <top style="thin">
        <color rgb="FFD0CECE"/>
      </top>
      <bottom/>
      <diagonal/>
    </border>
    <border>
      <left/>
      <right style="thin">
        <color rgb="FFD0CECE"/>
      </right>
      <top style="thin">
        <color rgb="FFD0CECE"/>
      </top>
      <bottom/>
      <diagonal/>
    </border>
    <border>
      <left style="thin">
        <color rgb="FFD0CECE"/>
      </left>
      <right/>
      <top style="thin">
        <color rgb="FFD0CECE"/>
      </top>
      <bottom/>
      <diagonal/>
    </border>
    <border>
      <left/>
      <right/>
      <top style="thin">
        <color rgb="FFD0CECE"/>
      </top>
      <bottom/>
      <diagonal/>
    </border>
    <border>
      <left/>
      <right style="thin">
        <color rgb="FFD0CECE"/>
      </right>
      <top style="thin">
        <color rgb="FFD0CECE"/>
      </top>
      <bottom/>
      <diagonal/>
    </border>
    <border>
      <left style="thin">
        <color rgb="FFD0CECE"/>
      </left>
      <right/>
      <top/>
      <bottom style="thin">
        <color rgb="FFD0CECE"/>
      </bottom>
      <diagonal/>
    </border>
    <border>
      <left/>
      <right style="thin">
        <color rgb="FFD0CECE"/>
      </right>
      <top/>
      <bottom style="thin">
        <color rgb="FFD0CECE"/>
      </bottom>
      <diagonal/>
    </border>
    <border>
      <left style="thin">
        <color rgb="FF3B7D98"/>
      </left>
      <right/>
      <top style="thin">
        <color rgb="FF3B7D98"/>
      </top>
      <bottom/>
      <diagonal/>
    </border>
    <border>
      <left/>
      <right/>
      <top style="thin">
        <color rgb="FF3B7D98"/>
      </top>
      <bottom/>
      <diagonal/>
    </border>
    <border>
      <left/>
      <right style="thin">
        <color rgb="FF3B7D98"/>
      </right>
      <top style="thin">
        <color rgb="FF3B7D98"/>
      </top>
      <bottom/>
      <diagonal/>
    </border>
    <border>
      <left style="thin">
        <color rgb="FF3B7D98"/>
      </left>
      <right/>
      <top/>
      <bottom/>
      <diagonal/>
    </border>
    <border>
      <left/>
      <right style="thin">
        <color rgb="FF3B7D98"/>
      </right>
      <top/>
      <bottom/>
      <diagonal/>
    </border>
    <border>
      <left style="thin">
        <color rgb="FF3B7D98"/>
      </left>
      <right/>
      <top/>
      <bottom style="thin">
        <color rgb="FF3B7D98"/>
      </bottom>
      <diagonal/>
    </border>
    <border>
      <left/>
      <right/>
      <top/>
      <bottom style="thin">
        <color rgb="FF3B7D98"/>
      </bottom>
      <diagonal/>
    </border>
    <border>
      <left/>
      <right style="thin">
        <color rgb="FF3B7D98"/>
      </right>
      <top/>
      <bottom style="thin">
        <color rgb="FF3B7D98"/>
      </bottom>
      <diagonal/>
    </border>
  </borders>
  <cellStyleXfs count="1">
    <xf numFmtId="0" fontId="0" fillId="0" borderId="0"/>
  </cellStyleXfs>
  <cellXfs count="223">
    <xf numFmtId="0" fontId="0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readingOrder="2"/>
    </xf>
    <xf numFmtId="0" fontId="6" fillId="0" borderId="0" xfId="0" applyFont="1" applyAlignment="1">
      <alignment horizontal="right" vertical="center" readingOrder="2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right" vertical="center" readingOrder="2"/>
    </xf>
    <xf numFmtId="0" fontId="10" fillId="0" borderId="0" xfId="0" applyFont="1" applyAlignment="1">
      <alignment horizontal="right" vertical="center" readingOrder="2"/>
    </xf>
    <xf numFmtId="0" fontId="11" fillId="0" borderId="0" xfId="0" applyFont="1" applyAlignment="1">
      <alignment horizontal="right" vertical="center" readingOrder="2"/>
    </xf>
    <xf numFmtId="0" fontId="12" fillId="0" borderId="0" xfId="0" applyFont="1" applyAlignment="1">
      <alignment horizontal="center" vertical="center" readingOrder="2"/>
    </xf>
    <xf numFmtId="0" fontId="12" fillId="2" borderId="2" xfId="0" applyFont="1" applyFill="1" applyBorder="1" applyAlignment="1">
      <alignment horizontal="center" vertical="center" readingOrder="2"/>
    </xf>
    <xf numFmtId="164" fontId="13" fillId="2" borderId="2" xfId="0" applyNumberFormat="1" applyFont="1" applyFill="1" applyBorder="1" applyAlignment="1">
      <alignment horizontal="right" vertical="center" readingOrder="2"/>
    </xf>
    <xf numFmtId="0" fontId="13" fillId="2" borderId="2" xfId="0" applyFont="1" applyFill="1" applyBorder="1" applyAlignment="1">
      <alignment horizontal="center" vertical="center" readingOrder="2"/>
    </xf>
    <xf numFmtId="0" fontId="14" fillId="0" borderId="0" xfId="0" applyFont="1" applyAlignment="1">
      <alignment horizontal="center" vertical="center" wrapText="1" readingOrder="1"/>
    </xf>
    <xf numFmtId="0" fontId="15" fillId="0" borderId="0" xfId="0" applyFont="1"/>
    <xf numFmtId="0" fontId="16" fillId="0" borderId="0" xfId="0" applyFont="1" applyAlignment="1">
      <alignment horizontal="center" vertical="center" readingOrder="2"/>
    </xf>
    <xf numFmtId="0" fontId="16" fillId="2" borderId="2" xfId="0" applyFont="1" applyFill="1" applyBorder="1" applyAlignment="1">
      <alignment horizontal="center" vertical="center" readingOrder="2"/>
    </xf>
    <xf numFmtId="0" fontId="16" fillId="3" borderId="2" xfId="0" applyFont="1" applyFill="1" applyBorder="1" applyAlignment="1">
      <alignment horizontal="center" vertical="center" readingOrder="2"/>
    </xf>
    <xf numFmtId="0" fontId="17" fillId="0" borderId="0" xfId="0" applyFont="1" applyAlignment="1">
      <alignment horizontal="center" vertical="center" wrapText="1" readingOrder="1"/>
    </xf>
    <xf numFmtId="0" fontId="18" fillId="3" borderId="2" xfId="0" applyFont="1" applyFill="1" applyBorder="1" applyAlignment="1">
      <alignment horizontal="center" vertical="center" readingOrder="2"/>
    </xf>
    <xf numFmtId="0" fontId="21" fillId="3" borderId="2" xfId="0" applyFont="1" applyFill="1" applyBorder="1" applyAlignment="1">
      <alignment horizontal="center" vertical="center" readingOrder="2"/>
    </xf>
    <xf numFmtId="0" fontId="18" fillId="2" borderId="2" xfId="0" applyFont="1" applyFill="1" applyBorder="1" applyAlignment="1">
      <alignment horizontal="center" vertical="center" readingOrder="2"/>
    </xf>
    <xf numFmtId="0" fontId="21" fillId="2" borderId="2" xfId="0" applyFont="1" applyFill="1" applyBorder="1" applyAlignment="1">
      <alignment horizontal="center" vertical="center" readingOrder="2"/>
    </xf>
    <xf numFmtId="0" fontId="16" fillId="4" borderId="2" xfId="0" applyFont="1" applyFill="1" applyBorder="1" applyAlignment="1">
      <alignment horizontal="center" vertical="center" readingOrder="2"/>
    </xf>
    <xf numFmtId="0" fontId="16" fillId="2" borderId="10" xfId="0" applyFont="1" applyFill="1" applyBorder="1" applyAlignment="1">
      <alignment horizontal="center" vertical="center" readingOrder="2"/>
    </xf>
    <xf numFmtId="0" fontId="16" fillId="2" borderId="11" xfId="0" applyFont="1" applyFill="1" applyBorder="1" applyAlignment="1">
      <alignment horizontal="center" vertical="center" readingOrder="2"/>
    </xf>
    <xf numFmtId="0" fontId="16" fillId="2" borderId="12" xfId="0" applyFont="1" applyFill="1" applyBorder="1" applyAlignment="1">
      <alignment horizontal="center" vertical="center" readingOrder="2"/>
    </xf>
    <xf numFmtId="0" fontId="16" fillId="2" borderId="13" xfId="0" applyFont="1" applyFill="1" applyBorder="1" applyAlignment="1">
      <alignment horizontal="center" vertical="center" readingOrder="2"/>
    </xf>
    <xf numFmtId="0" fontId="16" fillId="3" borderId="10" xfId="0" applyFont="1" applyFill="1" applyBorder="1" applyAlignment="1">
      <alignment horizontal="center" vertical="center" readingOrder="2"/>
    </xf>
    <xf numFmtId="0" fontId="16" fillId="3" borderId="11" xfId="0" applyFont="1" applyFill="1" applyBorder="1" applyAlignment="1">
      <alignment horizontal="center" vertical="center" readingOrder="2"/>
    </xf>
    <xf numFmtId="0" fontId="16" fillId="3" borderId="12" xfId="0" applyFont="1" applyFill="1" applyBorder="1" applyAlignment="1">
      <alignment horizontal="center" vertical="center" readingOrder="2"/>
    </xf>
    <xf numFmtId="0" fontId="16" fillId="2" borderId="17" xfId="0" applyFont="1" applyFill="1" applyBorder="1" applyAlignment="1">
      <alignment horizontal="center" vertical="center" readingOrder="2"/>
    </xf>
    <xf numFmtId="0" fontId="22" fillId="3" borderId="13" xfId="0" applyFont="1" applyFill="1" applyBorder="1" applyAlignment="1">
      <alignment horizontal="right" vertical="center" readingOrder="2"/>
    </xf>
    <xf numFmtId="0" fontId="22" fillId="3" borderId="2" xfId="0" applyFont="1" applyFill="1" applyBorder="1" applyAlignment="1">
      <alignment horizontal="right" vertical="center" readingOrder="2"/>
    </xf>
    <xf numFmtId="0" fontId="23" fillId="3" borderId="2" xfId="0" applyFont="1" applyFill="1" applyBorder="1" applyAlignment="1">
      <alignment horizontal="center" vertical="center" readingOrder="2"/>
    </xf>
    <xf numFmtId="0" fontId="16" fillId="3" borderId="17" xfId="0" applyFont="1" applyFill="1" applyBorder="1" applyAlignment="1">
      <alignment horizontal="center" vertical="center" readingOrder="2"/>
    </xf>
    <xf numFmtId="0" fontId="4" fillId="0" borderId="0" xfId="0" applyFont="1"/>
    <xf numFmtId="0" fontId="24" fillId="3" borderId="2" xfId="0" applyFont="1" applyFill="1" applyBorder="1" applyAlignment="1">
      <alignment horizontal="center" vertical="center" readingOrder="2"/>
    </xf>
    <xf numFmtId="0" fontId="22" fillId="3" borderId="2" xfId="0" applyFont="1" applyFill="1" applyBorder="1" applyAlignment="1">
      <alignment horizontal="right" vertical="center" readingOrder="2"/>
    </xf>
    <xf numFmtId="0" fontId="16" fillId="3" borderId="20" xfId="0" applyFont="1" applyFill="1" applyBorder="1" applyAlignment="1">
      <alignment horizontal="center" vertical="center" readingOrder="2"/>
    </xf>
    <xf numFmtId="0" fontId="16" fillId="3" borderId="21" xfId="0" applyFont="1" applyFill="1" applyBorder="1" applyAlignment="1">
      <alignment horizontal="center" vertical="center" readingOrder="2"/>
    </xf>
    <xf numFmtId="0" fontId="16" fillId="3" borderId="22" xfId="0" applyFont="1" applyFill="1" applyBorder="1" applyAlignment="1">
      <alignment horizontal="center" vertical="center" readingOrder="2"/>
    </xf>
    <xf numFmtId="0" fontId="16" fillId="3" borderId="13" xfId="0" applyFont="1" applyFill="1" applyBorder="1" applyAlignment="1">
      <alignment horizontal="center" vertical="center" readingOrder="2"/>
    </xf>
    <xf numFmtId="0" fontId="22" fillId="3" borderId="2" xfId="0" applyFont="1" applyFill="1" applyBorder="1" applyAlignment="1">
      <alignment horizontal="center" vertical="center" readingOrder="2"/>
    </xf>
    <xf numFmtId="0" fontId="28" fillId="0" borderId="0" xfId="0" applyFont="1" applyAlignment="1">
      <alignment horizontal="center" vertical="center" readingOrder="2"/>
    </xf>
    <xf numFmtId="0" fontId="29" fillId="3" borderId="2" xfId="0" applyFont="1" applyFill="1" applyBorder="1" applyAlignment="1">
      <alignment horizontal="center" vertical="center" readingOrder="2"/>
    </xf>
    <xf numFmtId="0" fontId="16" fillId="2" borderId="20" xfId="0" applyFont="1" applyFill="1" applyBorder="1" applyAlignment="1">
      <alignment horizontal="center" vertical="center" readingOrder="2"/>
    </xf>
    <xf numFmtId="0" fontId="16" fillId="2" borderId="22" xfId="0" applyFont="1" applyFill="1" applyBorder="1" applyAlignment="1">
      <alignment horizontal="center" vertical="center" readingOrder="2"/>
    </xf>
    <xf numFmtId="0" fontId="30" fillId="0" borderId="0" xfId="0" applyFont="1" applyAlignment="1">
      <alignment horizontal="right" readingOrder="2"/>
    </xf>
    <xf numFmtId="0" fontId="31" fillId="0" borderId="0" xfId="0" applyFont="1" applyAlignment="1">
      <alignment horizontal="center" vertical="center" readingOrder="2"/>
    </xf>
    <xf numFmtId="0" fontId="32" fillId="0" borderId="0" xfId="0" applyFont="1" applyAlignment="1">
      <alignment horizontal="center" vertical="center" readingOrder="2"/>
    </xf>
    <xf numFmtId="0" fontId="7" fillId="3" borderId="2" xfId="0" applyFont="1" applyFill="1" applyBorder="1" applyAlignment="1">
      <alignment horizontal="center" vertical="center" readingOrder="2"/>
    </xf>
    <xf numFmtId="0" fontId="26" fillId="3" borderId="10" xfId="0" applyFont="1" applyFill="1" applyBorder="1" applyAlignment="1">
      <alignment horizontal="right" vertical="center" readingOrder="2"/>
    </xf>
    <xf numFmtId="0" fontId="26" fillId="3" borderId="11" xfId="0" applyFont="1" applyFill="1" applyBorder="1" applyAlignment="1">
      <alignment horizontal="right" vertical="center" readingOrder="2"/>
    </xf>
    <xf numFmtId="0" fontId="26" fillId="3" borderId="12" xfId="0" applyFont="1" applyFill="1" applyBorder="1" applyAlignment="1">
      <alignment horizontal="right" vertical="center" readingOrder="2"/>
    </xf>
    <xf numFmtId="0" fontId="26" fillId="3" borderId="13" xfId="0" applyFont="1" applyFill="1" applyBorder="1" applyAlignment="1">
      <alignment horizontal="right" vertical="center" readingOrder="2"/>
    </xf>
    <xf numFmtId="0" fontId="26" fillId="3" borderId="17" xfId="0" applyFont="1" applyFill="1" applyBorder="1" applyAlignment="1">
      <alignment horizontal="right" vertical="center" readingOrder="2"/>
    </xf>
    <xf numFmtId="0" fontId="26" fillId="3" borderId="20" xfId="0" applyFont="1" applyFill="1" applyBorder="1" applyAlignment="1">
      <alignment horizontal="right" vertical="center" readingOrder="2"/>
    </xf>
    <xf numFmtId="0" fontId="26" fillId="3" borderId="21" xfId="0" applyFont="1" applyFill="1" applyBorder="1" applyAlignment="1">
      <alignment horizontal="right" vertical="center" readingOrder="2"/>
    </xf>
    <xf numFmtId="0" fontId="26" fillId="3" borderId="22" xfId="0" applyFont="1" applyFill="1" applyBorder="1" applyAlignment="1">
      <alignment horizontal="right" vertical="center" readingOrder="2"/>
    </xf>
    <xf numFmtId="0" fontId="34" fillId="2" borderId="2" xfId="0" applyFont="1" applyFill="1" applyBorder="1" applyAlignment="1">
      <alignment horizontal="center" vertical="top" readingOrder="2"/>
    </xf>
    <xf numFmtId="0" fontId="40" fillId="0" borderId="0" xfId="0" applyFont="1" applyAlignment="1">
      <alignment horizontal="right" vertical="center" readingOrder="2"/>
    </xf>
    <xf numFmtId="0" fontId="26" fillId="3" borderId="42" xfId="0" applyFont="1" applyFill="1" applyBorder="1" applyAlignment="1">
      <alignment horizontal="center" vertical="center" readingOrder="2"/>
    </xf>
    <xf numFmtId="0" fontId="26" fillId="3" borderId="2" xfId="0" applyFont="1" applyFill="1" applyBorder="1" applyAlignment="1">
      <alignment horizontal="center" vertical="center" readingOrder="2"/>
    </xf>
    <xf numFmtId="0" fontId="26" fillId="3" borderId="43" xfId="0" applyFont="1" applyFill="1" applyBorder="1" applyAlignment="1">
      <alignment horizontal="center" vertical="center" readingOrder="2"/>
    </xf>
    <xf numFmtId="0" fontId="44" fillId="0" borderId="0" xfId="0" applyFont="1"/>
    <xf numFmtId="0" fontId="44" fillId="0" borderId="0" xfId="0" applyFont="1" applyAlignment="1">
      <alignment horizontal="right" readingOrder="2"/>
    </xf>
    <xf numFmtId="0" fontId="26" fillId="3" borderId="2" xfId="0" applyFont="1" applyFill="1" applyBorder="1" applyAlignment="1">
      <alignment horizontal="right" vertical="center" readingOrder="2"/>
    </xf>
    <xf numFmtId="0" fontId="22" fillId="3" borderId="2" xfId="0" applyFont="1" applyFill="1" applyBorder="1" applyAlignment="1">
      <alignment horizontal="right" vertical="center" wrapText="1" readingOrder="2"/>
    </xf>
    <xf numFmtId="0" fontId="4" fillId="2" borderId="13" xfId="0" applyFont="1" applyFill="1" applyBorder="1"/>
    <xf numFmtId="0" fontId="4" fillId="2" borderId="2" xfId="0" applyFont="1" applyFill="1" applyBorder="1"/>
    <xf numFmtId="0" fontId="18" fillId="2" borderId="2" xfId="0" applyFont="1" applyFill="1" applyBorder="1" applyAlignment="1">
      <alignment horizontal="right" vertical="center" wrapText="1" readingOrder="2"/>
    </xf>
    <xf numFmtId="0" fontId="4" fillId="2" borderId="17" xfId="0" applyFont="1" applyFill="1" applyBorder="1"/>
    <xf numFmtId="0" fontId="18" fillId="2" borderId="20" xfId="0" applyFont="1" applyFill="1" applyBorder="1" applyAlignment="1">
      <alignment horizontal="right" vertical="center" wrapText="1" readingOrder="2"/>
    </xf>
    <xf numFmtId="0" fontId="18" fillId="2" borderId="21" xfId="0" applyFont="1" applyFill="1" applyBorder="1" applyAlignment="1">
      <alignment horizontal="right" vertical="center" wrapText="1" readingOrder="2"/>
    </xf>
    <xf numFmtId="0" fontId="18" fillId="2" borderId="22" xfId="0" applyFont="1" applyFill="1" applyBorder="1" applyAlignment="1">
      <alignment horizontal="right" vertical="center" wrapText="1" readingOrder="2"/>
    </xf>
    <xf numFmtId="0" fontId="47" fillId="2" borderId="21" xfId="0" applyFont="1" applyFill="1" applyBorder="1" applyAlignment="1">
      <alignment horizontal="right" vertical="center" wrapText="1" readingOrder="2"/>
    </xf>
    <xf numFmtId="0" fontId="29" fillId="2" borderId="21" xfId="0" applyFont="1" applyFill="1" applyBorder="1" applyAlignment="1">
      <alignment horizontal="right" vertical="center" wrapText="1" readingOrder="2"/>
    </xf>
    <xf numFmtId="0" fontId="4" fillId="2" borderId="21" xfId="0" applyFont="1" applyFill="1" applyBorder="1"/>
    <xf numFmtId="0" fontId="4" fillId="2" borderId="22" xfId="0" applyFont="1" applyFill="1" applyBorder="1"/>
    <xf numFmtId="0" fontId="4" fillId="2" borderId="20" xfId="0" applyFont="1" applyFill="1" applyBorder="1"/>
    <xf numFmtId="0" fontId="26" fillId="3" borderId="2" xfId="0" applyFont="1" applyFill="1" applyBorder="1" applyAlignment="1">
      <alignment horizontal="left" vertical="center" readingOrder="2"/>
    </xf>
    <xf numFmtId="0" fontId="22" fillId="2" borderId="11" xfId="0" applyFont="1" applyFill="1" applyBorder="1" applyAlignment="1">
      <alignment horizontal="right" vertical="center" readingOrder="2"/>
    </xf>
    <xf numFmtId="0" fontId="26" fillId="2" borderId="76" xfId="0" applyFont="1" applyFill="1" applyBorder="1" applyAlignment="1">
      <alignment horizontal="right" vertical="center" readingOrder="2"/>
    </xf>
    <xf numFmtId="0" fontId="26" fillId="2" borderId="77" xfId="0" applyFont="1" applyFill="1" applyBorder="1" applyAlignment="1">
      <alignment horizontal="right" vertical="center" readingOrder="2"/>
    </xf>
    <xf numFmtId="0" fontId="26" fillId="2" borderId="78" xfId="0" applyFont="1" applyFill="1" applyBorder="1" applyAlignment="1">
      <alignment horizontal="right" vertical="center" readingOrder="2"/>
    </xf>
    <xf numFmtId="0" fontId="18" fillId="2" borderId="79" xfId="0" applyFont="1" applyFill="1" applyBorder="1" applyAlignment="1">
      <alignment horizontal="right" vertical="center" readingOrder="2"/>
    </xf>
    <xf numFmtId="0" fontId="18" fillId="2" borderId="80" xfId="0" applyFont="1" applyFill="1" applyBorder="1" applyAlignment="1">
      <alignment horizontal="right" vertical="center" readingOrder="2"/>
    </xf>
    <xf numFmtId="0" fontId="26" fillId="2" borderId="81" xfId="0" applyFont="1" applyFill="1" applyBorder="1" applyAlignment="1">
      <alignment horizontal="right" vertical="center" readingOrder="2"/>
    </xf>
    <xf numFmtId="0" fontId="26" fillId="2" borderId="82" xfId="0" applyFont="1" applyFill="1" applyBorder="1" applyAlignment="1">
      <alignment horizontal="right" vertical="center" readingOrder="2"/>
    </xf>
    <xf numFmtId="0" fontId="26" fillId="2" borderId="83" xfId="0" applyFont="1" applyFill="1" applyBorder="1" applyAlignment="1">
      <alignment horizontal="right" vertical="center" readingOrder="2"/>
    </xf>
    <xf numFmtId="167" fontId="50" fillId="0" borderId="0" xfId="0" applyNumberFormat="1" applyFont="1" applyAlignment="1">
      <alignment horizontal="center" vertical="center" readingOrder="2"/>
    </xf>
    <xf numFmtId="0" fontId="22" fillId="5" borderId="2" xfId="0" applyFont="1" applyFill="1" applyBorder="1" applyAlignment="1">
      <alignment horizontal="right" vertical="center" readingOrder="2"/>
    </xf>
    <xf numFmtId="0" fontId="51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 wrapText="1"/>
    </xf>
    <xf numFmtId="0" fontId="33" fillId="0" borderId="6" xfId="0" applyFont="1" applyBorder="1" applyAlignment="1">
      <alignment horizontal="center" vertical="center" shrinkToFit="1" readingOrder="2"/>
    </xf>
    <xf numFmtId="0" fontId="19" fillId="0" borderId="7" xfId="0" applyFont="1" applyBorder="1"/>
    <xf numFmtId="0" fontId="19" fillId="0" borderId="8" xfId="0" applyFont="1" applyBorder="1"/>
    <xf numFmtId="0" fontId="26" fillId="3" borderId="3" xfId="0" applyFont="1" applyFill="1" applyBorder="1" applyAlignment="1">
      <alignment horizontal="center" vertical="center" readingOrder="2"/>
    </xf>
    <xf numFmtId="0" fontId="19" fillId="0" borderId="4" xfId="0" applyFont="1" applyBorder="1"/>
    <xf numFmtId="0" fontId="19" fillId="0" borderId="5" xfId="0" applyFont="1" applyBorder="1"/>
    <xf numFmtId="0" fontId="18" fillId="3" borderId="3" xfId="0" applyFont="1" applyFill="1" applyBorder="1" applyAlignment="1">
      <alignment horizontal="center" vertical="center" readingOrder="2"/>
    </xf>
    <xf numFmtId="0" fontId="33" fillId="0" borderId="6" xfId="0" applyFont="1" applyBorder="1" applyAlignment="1">
      <alignment horizontal="center" vertical="center" wrapText="1" readingOrder="2"/>
    </xf>
    <xf numFmtId="0" fontId="21" fillId="3" borderId="3" xfId="0" applyFont="1" applyFill="1" applyBorder="1" applyAlignment="1">
      <alignment horizontal="center" vertical="center" readingOrder="2"/>
    </xf>
    <xf numFmtId="0" fontId="34" fillId="2" borderId="32" xfId="0" applyFont="1" applyFill="1" applyBorder="1" applyAlignment="1">
      <alignment horizontal="center" vertical="center" readingOrder="2"/>
    </xf>
    <xf numFmtId="0" fontId="19" fillId="0" borderId="33" xfId="0" applyFont="1" applyBorder="1"/>
    <xf numFmtId="0" fontId="19" fillId="0" borderId="34" xfId="0" applyFont="1" applyBorder="1"/>
    <xf numFmtId="0" fontId="19" fillId="0" borderId="35" xfId="0" applyFont="1" applyBorder="1"/>
    <xf numFmtId="0" fontId="19" fillId="0" borderId="36" xfId="0" applyFont="1" applyBorder="1"/>
    <xf numFmtId="0" fontId="19" fillId="0" borderId="37" xfId="0" applyFont="1" applyBorder="1"/>
    <xf numFmtId="165" fontId="27" fillId="0" borderId="0" xfId="0" applyNumberFormat="1" applyFont="1" applyAlignment="1">
      <alignment horizontal="center" vertical="center" readingOrder="1"/>
    </xf>
    <xf numFmtId="0" fontId="0" fillId="0" borderId="0" xfId="0" applyFont="1" applyAlignment="1"/>
    <xf numFmtId="0" fontId="22" fillId="3" borderId="3" xfId="0" applyFont="1" applyFill="1" applyBorder="1" applyAlignment="1">
      <alignment horizontal="center" vertical="center" readingOrder="2"/>
    </xf>
    <xf numFmtId="0" fontId="25" fillId="3" borderId="3" xfId="0" applyFont="1" applyFill="1" applyBorder="1" applyAlignment="1">
      <alignment horizontal="center" vertical="center" readingOrder="2"/>
    </xf>
    <xf numFmtId="0" fontId="22" fillId="3" borderId="3" xfId="0" applyFont="1" applyFill="1" applyBorder="1" applyAlignment="1">
      <alignment horizontal="right" vertical="center" readingOrder="2"/>
    </xf>
    <xf numFmtId="0" fontId="26" fillId="4" borderId="23" xfId="0" applyFont="1" applyFill="1" applyBorder="1" applyAlignment="1">
      <alignment horizontal="center" vertical="center" wrapText="1" readingOrder="2"/>
    </xf>
    <xf numFmtId="0" fontId="19" fillId="0" borderId="24" xfId="0" applyFont="1" applyBorder="1"/>
    <xf numFmtId="0" fontId="19" fillId="0" borderId="25" xfId="0" applyFont="1" applyBorder="1"/>
    <xf numFmtId="0" fontId="23" fillId="4" borderId="23" xfId="0" applyFont="1" applyFill="1" applyBorder="1" applyAlignment="1">
      <alignment horizontal="center" vertical="center" readingOrder="2"/>
    </xf>
    <xf numFmtId="0" fontId="21" fillId="4" borderId="14" xfId="0" applyFont="1" applyFill="1" applyBorder="1" applyAlignment="1">
      <alignment horizontal="center" vertical="center" wrapText="1" readingOrder="2"/>
    </xf>
    <xf numFmtId="0" fontId="19" fillId="0" borderId="15" xfId="0" applyFont="1" applyBorder="1"/>
    <xf numFmtId="0" fontId="19" fillId="0" borderId="16" xfId="0" applyFont="1" applyBorder="1"/>
    <xf numFmtId="0" fontId="19" fillId="0" borderId="18" xfId="0" applyFont="1" applyBorder="1"/>
    <xf numFmtId="0" fontId="19" fillId="0" borderId="19" xfId="0" applyFont="1" applyBorder="1"/>
    <xf numFmtId="0" fontId="19" fillId="0" borderId="26" xfId="0" applyFont="1" applyBorder="1"/>
    <xf numFmtId="0" fontId="19" fillId="0" borderId="27" xfId="0" applyFont="1" applyBorder="1"/>
    <xf numFmtId="0" fontId="19" fillId="0" borderId="28" xfId="0" applyFont="1" applyBorder="1"/>
    <xf numFmtId="0" fontId="25" fillId="3" borderId="3" xfId="0" applyFont="1" applyFill="1" applyBorder="1" applyAlignment="1">
      <alignment horizontal="center" vertical="center" readingOrder="1"/>
    </xf>
    <xf numFmtId="0" fontId="26" fillId="5" borderId="29" xfId="0" applyFont="1" applyFill="1" applyBorder="1" applyAlignment="1">
      <alignment horizontal="center" vertical="center" shrinkToFit="1" readingOrder="2"/>
    </xf>
    <xf numFmtId="0" fontId="19" fillId="0" borderId="30" xfId="0" applyFont="1" applyBorder="1"/>
    <xf numFmtId="0" fontId="19" fillId="0" borderId="31" xfId="0" applyFont="1" applyBorder="1"/>
    <xf numFmtId="1" fontId="33" fillId="0" borderId="6" xfId="0" applyNumberFormat="1" applyFont="1" applyBorder="1" applyAlignment="1">
      <alignment horizontal="center" vertical="center" wrapText="1" readingOrder="2"/>
    </xf>
    <xf numFmtId="0" fontId="19" fillId="0" borderId="9" xfId="0" applyFont="1" applyBorder="1"/>
    <xf numFmtId="0" fontId="35" fillId="0" borderId="0" xfId="0" applyFont="1" applyAlignment="1">
      <alignment horizontal="right" vertical="top" wrapText="1" readingOrder="2"/>
    </xf>
    <xf numFmtId="0" fontId="36" fillId="0" borderId="0" xfId="0" applyFont="1" applyAlignment="1">
      <alignment horizontal="right" vertical="top" wrapText="1" readingOrder="2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20" fillId="0" borderId="6" xfId="0" applyFont="1" applyBorder="1" applyAlignment="1">
      <alignment horizontal="center" vertical="center" wrapText="1" readingOrder="2"/>
    </xf>
    <xf numFmtId="0" fontId="43" fillId="0" borderId="57" xfId="0" applyFont="1" applyBorder="1" applyAlignment="1">
      <alignment horizontal="center" vertical="center" readingOrder="2"/>
    </xf>
    <xf numFmtId="0" fontId="19" fillId="0" borderId="58" xfId="0" applyFont="1" applyBorder="1"/>
    <xf numFmtId="0" fontId="19" fillId="0" borderId="59" xfId="0" applyFont="1" applyBorder="1"/>
    <xf numFmtId="1" fontId="43" fillId="0" borderId="57" xfId="0" applyNumberFormat="1" applyFont="1" applyBorder="1" applyAlignment="1">
      <alignment horizontal="center" vertical="center" readingOrder="2"/>
    </xf>
    <xf numFmtId="0" fontId="43" fillId="0" borderId="29" xfId="0" applyFont="1" applyBorder="1" applyAlignment="1">
      <alignment horizontal="center" vertical="center" readingOrder="2"/>
    </xf>
    <xf numFmtId="1" fontId="43" fillId="0" borderId="29" xfId="0" applyNumberFormat="1" applyFont="1" applyBorder="1" applyAlignment="1">
      <alignment horizontal="center" vertical="center" readingOrder="2"/>
    </xf>
    <xf numFmtId="0" fontId="43" fillId="0" borderId="61" xfId="0" applyFont="1" applyBorder="1" applyAlignment="1">
      <alignment horizontal="right" vertical="center" wrapText="1" readingOrder="2"/>
    </xf>
    <xf numFmtId="0" fontId="19" fillId="0" borderId="45" xfId="0" applyFont="1" applyBorder="1"/>
    <xf numFmtId="0" fontId="19" fillId="0" borderId="46" xfId="0" applyFont="1" applyBorder="1"/>
    <xf numFmtId="0" fontId="19" fillId="0" borderId="62" xfId="0" applyFont="1" applyBorder="1"/>
    <xf numFmtId="0" fontId="19" fillId="0" borderId="52" xfId="0" applyFont="1" applyBorder="1"/>
    <xf numFmtId="0" fontId="19" fillId="0" borderId="63" xfId="0" applyFont="1" applyBorder="1"/>
    <xf numFmtId="0" fontId="19" fillId="0" borderId="55" xfId="0" applyFont="1" applyBorder="1"/>
    <xf numFmtId="0" fontId="19" fillId="0" borderId="56" xfId="0" applyFont="1" applyBorder="1"/>
    <xf numFmtId="0" fontId="43" fillId="0" borderId="47" xfId="0" applyFont="1" applyBorder="1" applyAlignment="1">
      <alignment horizontal="center" vertical="center" readingOrder="2"/>
    </xf>
    <xf numFmtId="0" fontId="19" fillId="0" borderId="48" xfId="0" applyFont="1" applyBorder="1"/>
    <xf numFmtId="0" fontId="19" fillId="0" borderId="49" xfId="0" applyFont="1" applyBorder="1"/>
    <xf numFmtId="1" fontId="43" fillId="0" borderId="47" xfId="0" applyNumberFormat="1" applyFont="1" applyBorder="1" applyAlignment="1">
      <alignment horizontal="center" vertical="center" readingOrder="2"/>
    </xf>
    <xf numFmtId="1" fontId="25" fillId="0" borderId="47" xfId="0" applyNumberFormat="1" applyFont="1" applyBorder="1" applyAlignment="1">
      <alignment horizontal="center" vertical="center" readingOrder="2"/>
    </xf>
    <xf numFmtId="0" fontId="19" fillId="0" borderId="50" xfId="0" applyFont="1" applyBorder="1"/>
    <xf numFmtId="0" fontId="39" fillId="4" borderId="40" xfId="0" applyFont="1" applyFill="1" applyBorder="1" applyAlignment="1">
      <alignment horizontal="center" vertical="center" readingOrder="2"/>
    </xf>
    <xf numFmtId="0" fontId="19" fillId="0" borderId="39" xfId="0" applyFont="1" applyBorder="1"/>
    <xf numFmtId="0" fontId="19" fillId="0" borderId="41" xfId="0" applyFont="1" applyBorder="1"/>
    <xf numFmtId="1" fontId="25" fillId="0" borderId="29" xfId="0" applyNumberFormat="1" applyFont="1" applyBorder="1" applyAlignment="1">
      <alignment horizontal="center" vertical="center" readingOrder="2"/>
    </xf>
    <xf numFmtId="0" fontId="19" fillId="0" borderId="53" xfId="0" applyFont="1" applyBorder="1"/>
    <xf numFmtId="1" fontId="25" fillId="0" borderId="57" xfId="0" applyNumberFormat="1" applyFont="1" applyBorder="1" applyAlignment="1">
      <alignment horizontal="center" vertical="center" readingOrder="2"/>
    </xf>
    <xf numFmtId="0" fontId="19" fillId="0" borderId="60" xfId="0" applyFont="1" applyBorder="1"/>
    <xf numFmtId="0" fontId="39" fillId="4" borderId="40" xfId="0" applyFont="1" applyFill="1" applyBorder="1" applyAlignment="1">
      <alignment horizontal="center" vertical="center" wrapText="1" readingOrder="2"/>
    </xf>
    <xf numFmtId="0" fontId="41" fillId="4" borderId="40" xfId="0" applyFont="1" applyFill="1" applyBorder="1" applyAlignment="1">
      <alignment horizontal="center" vertical="center" wrapText="1" readingOrder="2"/>
    </xf>
    <xf numFmtId="0" fontId="42" fillId="4" borderId="40" xfId="0" applyFont="1" applyFill="1" applyBorder="1" applyAlignment="1">
      <alignment horizontal="center" vertical="center" readingOrder="2"/>
    </xf>
    <xf numFmtId="0" fontId="22" fillId="0" borderId="47" xfId="0" applyFont="1" applyBorder="1" applyAlignment="1">
      <alignment horizontal="center" vertical="center" readingOrder="2"/>
    </xf>
    <xf numFmtId="0" fontId="22" fillId="0" borderId="29" xfId="0" applyFont="1" applyBorder="1" applyAlignment="1">
      <alignment horizontal="center" vertical="center" readingOrder="2"/>
    </xf>
    <xf numFmtId="0" fontId="22" fillId="0" borderId="57" xfId="0" applyFont="1" applyBorder="1" applyAlignment="1">
      <alignment horizontal="center" vertical="center" readingOrder="2"/>
    </xf>
    <xf numFmtId="0" fontId="22" fillId="3" borderId="44" xfId="0" applyFont="1" applyFill="1" applyBorder="1" applyAlignment="1">
      <alignment horizontal="center" vertical="center" wrapText="1" readingOrder="2"/>
    </xf>
    <xf numFmtId="0" fontId="19" fillId="0" borderId="51" xfId="0" applyFont="1" applyBorder="1"/>
    <xf numFmtId="0" fontId="19" fillId="0" borderId="54" xfId="0" applyFont="1" applyBorder="1"/>
    <xf numFmtId="0" fontId="39" fillId="4" borderId="38" xfId="0" applyFont="1" applyFill="1" applyBorder="1" applyAlignment="1">
      <alignment horizontal="center" vertical="center" wrapText="1" readingOrder="2"/>
    </xf>
    <xf numFmtId="0" fontId="22" fillId="4" borderId="38" xfId="0" applyFont="1" applyFill="1" applyBorder="1" applyAlignment="1">
      <alignment horizontal="center" vertical="center" wrapText="1" readingOrder="2"/>
    </xf>
    <xf numFmtId="0" fontId="43" fillId="0" borderId="30" xfId="0" applyFont="1" applyBorder="1" applyAlignment="1">
      <alignment horizontal="right" vertical="center" wrapText="1" readingOrder="2"/>
    </xf>
    <xf numFmtId="0" fontId="43" fillId="0" borderId="58" xfId="0" applyFont="1" applyBorder="1" applyAlignment="1">
      <alignment horizontal="right" vertical="center" wrapText="1" readingOrder="2"/>
    </xf>
    <xf numFmtId="0" fontId="43" fillId="0" borderId="48" xfId="0" applyFont="1" applyBorder="1" applyAlignment="1">
      <alignment horizontal="right" vertical="center" wrapText="1" readingOrder="2"/>
    </xf>
    <xf numFmtId="1" fontId="46" fillId="5" borderId="3" xfId="0" applyNumberFormat="1" applyFont="1" applyFill="1" applyBorder="1" applyAlignment="1">
      <alignment horizontal="center" vertical="center" readingOrder="2"/>
    </xf>
    <xf numFmtId="0" fontId="46" fillId="2" borderId="3" xfId="0" applyFont="1" applyFill="1" applyBorder="1" applyAlignment="1">
      <alignment horizontal="center" vertical="center" wrapText="1" readingOrder="2"/>
    </xf>
    <xf numFmtId="0" fontId="18" fillId="4" borderId="3" xfId="0" applyFont="1" applyFill="1" applyBorder="1" applyAlignment="1">
      <alignment horizontal="center" vertical="center" readingOrder="2"/>
    </xf>
    <xf numFmtId="0" fontId="37" fillId="0" borderId="0" xfId="0" applyFont="1" applyAlignment="1">
      <alignment horizontal="center" vertical="center" wrapText="1" readingOrder="2"/>
    </xf>
    <xf numFmtId="0" fontId="33" fillId="0" borderId="0" xfId="0" applyFont="1" applyAlignment="1">
      <alignment horizontal="center" vertical="center" wrapText="1" readingOrder="2"/>
    </xf>
    <xf numFmtId="0" fontId="36" fillId="0" borderId="0" xfId="0" applyFont="1" applyAlignment="1">
      <alignment horizontal="center" vertical="center" shrinkToFit="1" readingOrder="2"/>
    </xf>
    <xf numFmtId="0" fontId="36" fillId="0" borderId="0" xfId="0" applyFont="1" applyAlignment="1">
      <alignment horizontal="center" vertical="center" wrapText="1" readingOrder="2"/>
    </xf>
    <xf numFmtId="0" fontId="36" fillId="0" borderId="0" xfId="0" applyFont="1" applyAlignment="1">
      <alignment horizontal="center" vertical="center" wrapText="1" readingOrder="1"/>
    </xf>
    <xf numFmtId="166" fontId="36" fillId="0" borderId="0" xfId="0" applyNumberFormat="1" applyFont="1" applyAlignment="1">
      <alignment horizontal="center" vertical="center" wrapText="1" readingOrder="2"/>
    </xf>
    <xf numFmtId="0" fontId="48" fillId="2" borderId="3" xfId="0" applyFont="1" applyFill="1" applyBorder="1" applyAlignment="1">
      <alignment horizontal="center" vertical="top" readingOrder="2"/>
    </xf>
    <xf numFmtId="0" fontId="49" fillId="6" borderId="3" xfId="0" applyFont="1" applyFill="1" applyBorder="1" applyAlignment="1">
      <alignment horizontal="center" vertical="center" readingOrder="2"/>
    </xf>
    <xf numFmtId="1" fontId="21" fillId="4" borderId="3" xfId="0" applyNumberFormat="1" applyFont="1" applyFill="1" applyBorder="1" applyAlignment="1">
      <alignment horizontal="center" vertical="center" readingOrder="2"/>
    </xf>
    <xf numFmtId="0" fontId="18" fillId="4" borderId="64" xfId="0" applyFont="1" applyFill="1" applyBorder="1" applyAlignment="1">
      <alignment horizontal="center" vertical="center" readingOrder="2"/>
    </xf>
    <xf numFmtId="1" fontId="18" fillId="4" borderId="3" xfId="0" applyNumberFormat="1" applyFont="1" applyFill="1" applyBorder="1" applyAlignment="1">
      <alignment horizontal="center" vertical="center" readingOrder="2"/>
    </xf>
    <xf numFmtId="0" fontId="45" fillId="3" borderId="65" xfId="0" applyFont="1" applyFill="1" applyBorder="1" applyAlignment="1">
      <alignment horizontal="center" vertical="center" readingOrder="2"/>
    </xf>
    <xf numFmtId="0" fontId="19" fillId="0" borderId="66" xfId="0" applyFont="1" applyBorder="1"/>
    <xf numFmtId="0" fontId="19" fillId="0" borderId="67" xfId="0" applyFont="1" applyBorder="1"/>
    <xf numFmtId="0" fontId="46" fillId="5" borderId="3" xfId="0" applyFont="1" applyFill="1" applyBorder="1" applyAlignment="1">
      <alignment horizontal="center" vertical="center" wrapText="1" readingOrder="2"/>
    </xf>
    <xf numFmtId="0" fontId="46" fillId="5" borderId="3" xfId="0" applyFont="1" applyFill="1" applyBorder="1" applyAlignment="1">
      <alignment horizontal="center" vertical="center" readingOrder="2"/>
    </xf>
    <xf numFmtId="1" fontId="46" fillId="2" borderId="3" xfId="0" applyNumberFormat="1" applyFont="1" applyFill="1" applyBorder="1" applyAlignment="1">
      <alignment horizontal="center" vertical="center" readingOrder="2"/>
    </xf>
    <xf numFmtId="0" fontId="33" fillId="0" borderId="0" xfId="0" applyFont="1" applyAlignment="1">
      <alignment horizontal="left" vertical="center" readingOrder="2"/>
    </xf>
    <xf numFmtId="0" fontId="22" fillId="4" borderId="68" xfId="0" applyFont="1" applyFill="1" applyBorder="1" applyAlignment="1">
      <alignment horizontal="center" vertical="center" wrapText="1" readingOrder="2"/>
    </xf>
    <xf numFmtId="0" fontId="19" fillId="0" borderId="69" xfId="0" applyFont="1" applyBorder="1"/>
    <xf numFmtId="0" fontId="19" fillId="0" borderId="70" xfId="0" applyFont="1" applyBorder="1"/>
    <xf numFmtId="0" fontId="19" fillId="0" borderId="74" xfId="0" applyFont="1" applyBorder="1"/>
    <xf numFmtId="0" fontId="19" fillId="0" borderId="75" xfId="0" applyFont="1" applyBorder="1"/>
    <xf numFmtId="0" fontId="46" fillId="4" borderId="71" xfId="0" applyFont="1" applyFill="1" applyBorder="1" applyAlignment="1">
      <alignment horizontal="center" vertical="center" shrinkToFit="1" readingOrder="2"/>
    </xf>
    <xf numFmtId="0" fontId="19" fillId="0" borderId="72" xfId="0" applyFont="1" applyBorder="1"/>
    <xf numFmtId="0" fontId="19" fillId="0" borderId="73" xfId="0" applyFont="1" applyBorder="1"/>
    <xf numFmtId="0" fontId="46" fillId="2" borderId="71" xfId="0" applyFont="1" applyFill="1" applyBorder="1" applyAlignment="1">
      <alignment horizontal="center" vertical="center" wrapText="1" readingOrder="2"/>
    </xf>
    <xf numFmtId="0" fontId="43" fillId="0" borderId="45" xfId="0" applyFont="1" applyBorder="1" applyAlignment="1">
      <alignment horizontal="right" vertical="center" wrapText="1" readingOrder="2"/>
    </xf>
    <xf numFmtId="0" fontId="37" fillId="0" borderId="0" xfId="0" applyFont="1" applyAlignment="1">
      <alignment horizontal="right" vertical="top" wrapText="1" readingOrder="2"/>
    </xf>
    <xf numFmtId="0" fontId="38" fillId="2" borderId="3" xfId="0" applyFont="1" applyFill="1" applyBorder="1" applyAlignment="1">
      <alignment horizontal="center" vertical="center" readingOrder="2"/>
    </xf>
    <xf numFmtId="0" fontId="34" fillId="2" borderId="3" xfId="0" applyFont="1" applyFill="1" applyBorder="1" applyAlignment="1">
      <alignment horizontal="center" vertical="top" readingOrder="2"/>
    </xf>
    <xf numFmtId="0" fontId="38" fillId="2" borderId="3" xfId="0" applyFont="1" applyFill="1" applyBorder="1" applyAlignment="1">
      <alignment horizontal="center" vertical="center" shrinkToFit="1" readingOrder="2"/>
    </xf>
    <xf numFmtId="0" fontId="41" fillId="4" borderId="40" xfId="0" applyFont="1" applyFill="1" applyBorder="1" applyAlignment="1">
      <alignment horizontal="center" vertical="center" readingOrder="2"/>
    </xf>
    <xf numFmtId="0" fontId="22" fillId="4" borderId="40" xfId="0" applyFont="1" applyFill="1" applyBorder="1" applyAlignment="1">
      <alignment horizontal="center" wrapText="1" readingOrder="2"/>
    </xf>
  </cellXfs>
  <cellStyles count="1">
    <cellStyle name="Normal" xfId="0" builtinId="0"/>
  </cellStyles>
  <dxfs count="4"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outlook.office.com/" TargetMode="External"/><Relationship Id="rId13" Type="http://schemas.openxmlformats.org/officeDocument/2006/relationships/hyperlink" Target="https://forms.office.com/r/xSjwySkgQW" TargetMode="External"/><Relationship Id="rId3" Type="http://schemas.openxmlformats.org/officeDocument/2006/relationships/hyperlink" Target="https://doroob.sa/ar/" TargetMode="External"/><Relationship Id="rId7" Type="http://schemas.openxmlformats.org/officeDocument/2006/relationships/hyperlink" Target="https://tvtc.gov.sa/ar/Departments/tvtcdepartments/Rayat/Documents/%D8%AF%D9%84%D9%8A%D9%84%20%D8%A7%D9%84%D9%85%D8%AA%D8%AF%D8%B1%D8%A8%20%D8%A7%D9%84%D8%A7%D9%84%D9%83%D8%AA%D8%B1%D9%88%D9%86%D9%8A%20%D8%A8%D8%A7%D9%84%D8%B1%D8%A7%D9%88%D8%A7%D8%A8%D8%B7%20%D9%84%D9%84%D8%B9%D8%A7%D9%85%201444%20%D9%87%D9%80.pdf" TargetMode="External"/><Relationship Id="rId12" Type="http://schemas.openxmlformats.org/officeDocument/2006/relationships/hyperlink" Target="https://forms.office.com/r/LEYuxvuNVP" TargetMode="External"/><Relationship Id="rId2" Type="http://schemas.openxmlformats.org/officeDocument/2006/relationships/hyperlink" Target="http://elearning.edu.sa/OLib/" TargetMode="External"/><Relationship Id="rId1" Type="http://schemas.openxmlformats.org/officeDocument/2006/relationships/image" Target="../media/image1.png"/><Relationship Id="rId6" Type="http://schemas.openxmlformats.org/officeDocument/2006/relationships/hyperlink" Target="https://tvtc.gov.sa/ar/Departments/tvtcdepartments/cdd/Pages/plans.aspx" TargetMode="External"/><Relationship Id="rId11" Type="http://schemas.openxmlformats.org/officeDocument/2006/relationships/hyperlink" Target="https://lms.elearning.edu.sa" TargetMode="External"/><Relationship Id="rId5" Type="http://schemas.openxmlformats.org/officeDocument/2006/relationships/hyperlink" Target="https://tvtc.gov.sa/ar/Departments/tvtcdepartments/Rayat/Pages/E-Services.aspx" TargetMode="External"/><Relationship Id="rId15" Type="http://schemas.openxmlformats.org/officeDocument/2006/relationships/hyperlink" Target="https://forms.office.com/r/jwdUdYwqPf" TargetMode="External"/><Relationship Id="rId10" Type="http://schemas.openxmlformats.org/officeDocument/2006/relationships/hyperlink" Target="https://tvtclms.edu.sa/" TargetMode="External"/><Relationship Id="rId4" Type="http://schemas.openxmlformats.org/officeDocument/2006/relationships/hyperlink" Target="https://tvtc.gov.sa/ar/Departments/tvtcdepartments/cdd/Pages/packages.aspx?RootFolder=/ar/Departments/tvtcdepartments/cdd/DocLib1/%D8%A7%D9%84%D9%85%D8%B1%D8%A7%D8%AC%D8%B9%20%D8%A7%D9%84%D8%B1%D9%82%D9%85%D9%8A%D8%A9#dflip-df_manual_custom215/1/" TargetMode="External"/><Relationship Id="rId9" Type="http://schemas.openxmlformats.org/officeDocument/2006/relationships/hyperlink" Target="https://tvtc.gov.sa/ar/Departments/tvtcdepartments/tadreeb/Pages/Documents.aspx?RootFolder=/ar/Departments/tvtcdepartments/tadreeb/Documents/%D8%A7%D9%84%D8%A3%D8%AF%D9%84%D8%A9%20%D8%A7%D9%84%D8%A7%D8%AC%D8%B1%D8%A7%D8%A6%D9%8A%D8%A9#dflip-df_manual_custom149/1/" TargetMode="External"/><Relationship Id="rId14" Type="http://schemas.openxmlformats.org/officeDocument/2006/relationships/hyperlink" Target="https://forms.office.com/r/6FkeH9Az03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19050</xdr:rowOff>
    </xdr:from>
    <xdr:ext cx="4295775" cy="790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5401619141" y="209550"/>
          <a:ext cx="4295775" cy="790575"/>
          <a:chOff x="3198113" y="3384713"/>
          <a:chExt cx="4295775" cy="79057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3198113" y="3384713"/>
            <a:ext cx="4295775" cy="790575"/>
            <a:chOff x="0" y="0"/>
            <a:chExt cx="2147483646" cy="2147483647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0" y="0"/>
              <a:ext cx="2147472640" cy="214746329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 t="30302" r="23325" b="23154"/>
            <a:stretch/>
          </xdr:blipFill>
          <xdr:spPr>
            <a:xfrm>
              <a:off x="0" y="0"/>
              <a:ext cx="1728859936" cy="165171971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 l="77503"/>
            <a:stretch/>
          </xdr:blipFill>
          <xdr:spPr>
            <a:xfrm>
              <a:off x="1760877424" y="66121987"/>
              <a:ext cx="386606222" cy="208136165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180975</xdr:colOff>
      <xdr:row>285</xdr:row>
      <xdr:rowOff>57150</xdr:rowOff>
    </xdr:from>
    <xdr:ext cx="7715250" cy="47625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15398236708" y="64018583"/>
          <a:ext cx="7715250" cy="476250"/>
          <a:chOff x="1488375" y="3541875"/>
          <a:chExt cx="7715250" cy="476250"/>
        </a:xfrm>
      </xdr:grpSpPr>
      <xdr:grpSp>
        <xdr:nvGrpSpPr>
          <xdr:cNvPr id="8" name="Shape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GrpSpPr/>
        </xdr:nvGrpSpPr>
        <xdr:grpSpPr>
          <a:xfrm>
            <a:off x="1488375" y="3541875"/>
            <a:ext cx="7715250" cy="476250"/>
            <a:chOff x="264612" y="42400415"/>
            <a:chExt cx="7428279" cy="400807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>
            <a:xfrm>
              <a:off x="264612" y="42400415"/>
              <a:ext cx="7428275" cy="400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" name="Shape 8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GrpSpPr/>
          </xdr:nvGrpSpPr>
          <xdr:grpSpPr>
            <a:xfrm>
              <a:off x="264612" y="42400415"/>
              <a:ext cx="7428279" cy="215825"/>
              <a:chOff x="264612" y="40523990"/>
              <a:chExt cx="7428279" cy="215825"/>
            </a:xfrm>
          </xdr:grpSpPr>
          <xdr:sp macro="" textlink="">
            <xdr:nvSpPr>
              <xdr:cNvPr id="11" name="Shape 9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/>
            </xdr:nvSpPr>
            <xdr:spPr>
              <a:xfrm>
                <a:off x="5378316" y="40523990"/>
                <a:ext cx="2314575" cy="215714"/>
              </a:xfrm>
              <a:prstGeom prst="round2SameRect">
                <a:avLst>
                  <a:gd name="adj1" fmla="val 50000"/>
                  <a:gd name="adj2" fmla="val 0"/>
                </a:avLst>
              </a:prstGeom>
              <a:solidFill>
                <a:srgbClr val="25AFA5"/>
              </a:solidFill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ctr" rtl="1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500" b="1" i="0">
                    <a:solidFill>
                      <a:schemeClr val="lt1"/>
                    </a:solidFill>
                    <a:latin typeface="Sakkal Majalla"/>
                    <a:ea typeface="Sakkal Majalla"/>
                    <a:cs typeface="Sakkal Majalla"/>
                    <a:sym typeface="Sakkal Majalla"/>
                  </a:rPr>
                  <a:t>الإدارة العامة لجودة التدريب</a:t>
                </a:r>
                <a:endParaRPr sz="1500">
                  <a:latin typeface="Sakkal Majalla"/>
                  <a:ea typeface="Sakkal Majalla"/>
                  <a:cs typeface="Sakkal Majalla"/>
                  <a:sym typeface="Sakkal Majalla"/>
                </a:endParaRPr>
              </a:p>
            </xdr:txBody>
          </xdr:sp>
          <xdr:sp macro="" textlink="">
            <xdr:nvSpPr>
              <xdr:cNvPr id="12" name="Shape 10">
                <a:extLs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SpPr/>
            </xdr:nvSpPr>
            <xdr:spPr>
              <a:xfrm>
                <a:off x="2826678" y="40524022"/>
                <a:ext cx="2314575" cy="215714"/>
              </a:xfrm>
              <a:prstGeom prst="round2SameRect">
                <a:avLst>
                  <a:gd name="adj1" fmla="val 50000"/>
                  <a:gd name="adj2" fmla="val 0"/>
                </a:avLst>
              </a:prstGeom>
              <a:solidFill>
                <a:srgbClr val="25AFA5"/>
              </a:solidFill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ctr" rtl="1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500" b="1" i="0">
                    <a:solidFill>
                      <a:schemeClr val="lt1"/>
                    </a:solidFill>
                    <a:latin typeface="Sakkal Majalla"/>
                    <a:ea typeface="Sakkal Majalla"/>
                    <a:cs typeface="Sakkal Majalla"/>
                    <a:sym typeface="Sakkal Majalla"/>
                  </a:rPr>
                  <a:t>الإصدار  الثالث    -    سبتمبر   2025</a:t>
                </a:r>
                <a:endParaRPr sz="1500">
                  <a:latin typeface="Sakkal Majalla"/>
                  <a:ea typeface="Sakkal Majalla"/>
                  <a:cs typeface="Sakkal Majalla"/>
                  <a:sym typeface="Sakkal Majalla"/>
                </a:endParaRPr>
              </a:p>
            </xdr:txBody>
          </xdr:sp>
          <xdr:sp macro="" textlink="">
            <xdr:nvSpPr>
              <xdr:cNvPr id="13" name="Shape 11">
                <a:extLs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SpPr/>
            </xdr:nvSpPr>
            <xdr:spPr>
              <a:xfrm>
                <a:off x="264612" y="40524100"/>
                <a:ext cx="2314575" cy="215715"/>
              </a:xfrm>
              <a:prstGeom prst="round2SameRect">
                <a:avLst>
                  <a:gd name="adj1" fmla="val 50000"/>
                  <a:gd name="adj2" fmla="val 0"/>
                </a:avLst>
              </a:prstGeom>
              <a:solidFill>
                <a:srgbClr val="25AFA5"/>
              </a:solidFill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ctr" rtl="1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500" b="1" i="0">
                    <a:solidFill>
                      <a:schemeClr val="lt1"/>
                    </a:solidFill>
                    <a:latin typeface="Sakkal Majalla"/>
                    <a:ea typeface="Sakkal Majalla"/>
                    <a:cs typeface="Sakkal Majalla"/>
                    <a:sym typeface="Sakkal Majalla"/>
                  </a:rPr>
                  <a:t>gdqs@tvtc.gov.sa</a:t>
                </a:r>
                <a:endParaRPr sz="1500">
                  <a:latin typeface="Sakkal Majalla"/>
                  <a:ea typeface="Sakkal Majalla"/>
                  <a:cs typeface="Sakkal Majalla"/>
                  <a:sym typeface="Sakkal Majalla"/>
                </a:endParaRPr>
              </a:p>
            </xdr:txBody>
          </xdr:sp>
        </xdr:grpSp>
        <xdr:sp macro="" textlink="">
          <xdr:nvSpPr>
            <xdr:cNvPr id="14" name="Shape 12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/>
          </xdr:nvSpPr>
          <xdr:spPr>
            <a:xfrm>
              <a:off x="276622" y="42624375"/>
              <a:ext cx="7406254" cy="176847"/>
            </a:xfrm>
            <a:prstGeom prst="round1Rect">
              <a:avLst>
                <a:gd name="adj" fmla="val 0"/>
              </a:avLst>
            </a:prstGeom>
            <a:noFill/>
            <a:ln w="19050" cap="flat" cmpd="sng">
              <a:solidFill>
                <a:srgbClr val="25AFA5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ctr" rtl="1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300" b="1">
                  <a:solidFill>
                    <a:srgbClr val="616365"/>
                  </a:solidFill>
                  <a:latin typeface="Sakkal Majalla"/>
                  <a:ea typeface="Sakkal Majalla"/>
                  <a:cs typeface="Sakkal Majalla"/>
                  <a:sym typeface="Sakkal Majalla"/>
                </a:rPr>
                <a:t>يسعدنا استقبال مقترحاتكم لغرض التطوير والتحسين في الإصدار الثالث لنموذج ملف المدرب وتوصيف المقرر التدريبي من خلال بريد الإدارة الموضح أعلاه.</a:t>
              </a:r>
              <a:endParaRPr sz="1300">
                <a:solidFill>
                  <a:srgbClr val="616365"/>
                </a:solidFill>
                <a:latin typeface="Sakkal Majalla"/>
                <a:ea typeface="Sakkal Majalla"/>
                <a:cs typeface="Sakkal Majalla"/>
                <a:sym typeface="Sakkal Majalla"/>
              </a:endParaRPr>
            </a:p>
          </xdr:txBody>
        </xdr:sp>
      </xdr:grpSp>
    </xdr:grpSp>
    <xdr:clientData fLocksWithSheet="0"/>
  </xdr:oneCellAnchor>
  <xdr:oneCellAnchor>
    <xdr:from>
      <xdr:col>1</xdr:col>
      <xdr:colOff>19050</xdr:colOff>
      <xdr:row>77</xdr:row>
      <xdr:rowOff>19050</xdr:rowOff>
    </xdr:from>
    <xdr:ext cx="7677150" cy="10086975"/>
    <xdr:grpSp>
      <xdr:nvGrpSpPr>
        <xdr:cNvPr id="15" name="Shape 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15398237766" y="12092517"/>
          <a:ext cx="7677150" cy="10086975"/>
          <a:chOff x="1507425" y="0"/>
          <a:chExt cx="7677150" cy="7560000"/>
        </a:xfrm>
      </xdr:grpSpPr>
      <xdr:grpSp>
        <xdr:nvGrpSpPr>
          <xdr:cNvPr id="16" name="Shape 13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GrpSpPr/>
        </xdr:nvGrpSpPr>
        <xdr:grpSpPr>
          <a:xfrm>
            <a:off x="1507425" y="0"/>
            <a:ext cx="7677150" cy="7560000"/>
            <a:chOff x="250569" y="1445425"/>
            <a:chExt cx="7442302" cy="10159365"/>
          </a:xfrm>
        </xdr:grpSpPr>
        <xdr:sp macro="" textlink="">
          <xdr:nvSpPr>
            <xdr:cNvPr id="17" name="Shape 4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/>
          </xdr:nvSpPr>
          <xdr:spPr>
            <a:xfrm>
              <a:off x="250569" y="1445425"/>
              <a:ext cx="7442300" cy="101593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8" name="Shape 14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/>
          </xdr:nvSpPr>
          <xdr:spPr>
            <a:xfrm>
              <a:off x="250569" y="1445425"/>
              <a:ext cx="7442301" cy="481969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757070"/>
            </a:solidFill>
            <a:ln w="25400" cap="rnd" cmpd="sng">
              <a:solidFill>
                <a:srgbClr val="75707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0" rIns="91425" bIns="36000" anchor="ctr" anchorCtr="0">
              <a:noAutofit/>
            </a:bodyPr>
            <a:lstStyle/>
            <a:p>
              <a:pPr marL="0" marR="0" lvl="0" indent="0" algn="ctr" rtl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FFFFFF"/>
                </a:buClr>
                <a:buSzPts val="2500"/>
                <a:buFont typeface="Sakkal Majalla"/>
                <a:buNone/>
              </a:pPr>
              <a:r>
                <a:rPr lang="en-US" sz="2500" b="1" i="0" u="none" strike="noStrike" cap="none">
                  <a:solidFill>
                    <a:srgbClr val="FFFFFF"/>
                  </a:solidFill>
                  <a:latin typeface="Sakkal Majalla"/>
                  <a:ea typeface="Sakkal Majalla"/>
                  <a:cs typeface="Sakkal Majalla"/>
                  <a:sym typeface="Sakkal Majalla"/>
                </a:rPr>
                <a:t>بيانات المقرر  التدريبي</a:t>
              </a:r>
              <a:endParaRPr sz="1400"/>
            </a:p>
          </xdr:txBody>
        </xdr:sp>
        <xdr:sp macro="" textlink="">
          <xdr:nvSpPr>
            <xdr:cNvPr id="19" name="Shape 15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SpPr/>
          </xdr:nvSpPr>
          <xdr:spPr>
            <a:xfrm>
              <a:off x="250569" y="1936687"/>
              <a:ext cx="7442302" cy="9668103"/>
            </a:xfrm>
            <a:prstGeom prst="round1Rect">
              <a:avLst>
                <a:gd name="adj" fmla="val 0"/>
              </a:avLst>
            </a:prstGeom>
            <a:noFill/>
            <a:ln w="25400" cap="flat" cmpd="sng">
              <a:solidFill>
                <a:srgbClr val="75707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r" rtl="1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oneCellAnchor>
    <xdr:from>
      <xdr:col>1</xdr:col>
      <xdr:colOff>19050</xdr:colOff>
      <xdr:row>233</xdr:row>
      <xdr:rowOff>19050</xdr:rowOff>
    </xdr:from>
    <xdr:ext cx="7677150" cy="3219450"/>
    <xdr:grpSp>
      <xdr:nvGrpSpPr>
        <xdr:cNvPr id="20" name="Shape 2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15398237766" y="54328483"/>
          <a:ext cx="7677150" cy="3219450"/>
          <a:chOff x="1507425" y="2170275"/>
          <a:chExt cx="7677150" cy="3219450"/>
        </a:xfrm>
      </xdr:grpSpPr>
      <xdr:grpSp>
        <xdr:nvGrpSpPr>
          <xdr:cNvPr id="21" name="Shape 16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GrpSpPr/>
        </xdr:nvGrpSpPr>
        <xdr:grpSpPr>
          <a:xfrm>
            <a:off x="1507425" y="2170275"/>
            <a:ext cx="7677150" cy="3219450"/>
            <a:chOff x="250569" y="1445424"/>
            <a:chExt cx="7442302" cy="3238128"/>
          </a:xfrm>
        </xdr:grpSpPr>
        <xdr:sp macro="" textlink="">
          <xdr:nvSpPr>
            <xdr:cNvPr id="22" name="Shape 4">
              <a:extLst>
                <a:ext uri="{FF2B5EF4-FFF2-40B4-BE49-F238E27FC236}">
                  <a16:creationId xmlns:a16="http://schemas.microsoft.com/office/drawing/2014/main" id="{00000000-0008-0000-0000-000016000000}"/>
                </a:ext>
              </a:extLst>
            </xdr:cNvPr>
            <xdr:cNvSpPr/>
          </xdr:nvSpPr>
          <xdr:spPr>
            <a:xfrm>
              <a:off x="250569" y="1445424"/>
              <a:ext cx="7442300" cy="3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3" name="Shape 17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SpPr/>
          </xdr:nvSpPr>
          <xdr:spPr>
            <a:xfrm>
              <a:off x="250569" y="1445424"/>
              <a:ext cx="7442301" cy="482309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757070"/>
            </a:solidFill>
            <a:ln w="25400" cap="rnd" cmpd="sng">
              <a:solidFill>
                <a:srgbClr val="75707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0" rIns="91425" bIns="36000" anchor="ctr" anchorCtr="0">
              <a:noAutofit/>
            </a:bodyPr>
            <a:lstStyle/>
            <a:p>
              <a:pPr marL="0" marR="0" lvl="0" indent="0" algn="ctr" rtl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FFFFFF"/>
                </a:buClr>
                <a:buSzPts val="2500"/>
                <a:buFont typeface="Sakkal Majalla"/>
                <a:buNone/>
              </a:pPr>
              <a:r>
                <a:rPr lang="en-US" sz="2500" b="1" i="0" u="none" strike="noStrike" cap="none">
                  <a:solidFill>
                    <a:srgbClr val="FFFFFF"/>
                  </a:solidFill>
                  <a:latin typeface="Sakkal Majalla"/>
                  <a:ea typeface="Sakkal Majalla"/>
                  <a:cs typeface="Sakkal Majalla"/>
                  <a:sym typeface="Sakkal Majalla"/>
                </a:rPr>
                <a:t>المراجع التدريبية</a:t>
              </a:r>
              <a:endParaRPr sz="1400"/>
            </a:p>
          </xdr:txBody>
        </xdr:sp>
        <xdr:sp macro="" textlink="">
          <xdr:nvSpPr>
            <xdr:cNvPr id="24" name="Shape 18">
              <a:extLst>
                <a:ext uri="{FF2B5EF4-FFF2-40B4-BE49-F238E27FC236}">
                  <a16:creationId xmlns:a16="http://schemas.microsoft.com/office/drawing/2014/main" id="{00000000-0008-0000-0000-000018000000}"/>
                </a:ext>
              </a:extLst>
            </xdr:cNvPr>
            <xdr:cNvSpPr/>
          </xdr:nvSpPr>
          <xdr:spPr>
            <a:xfrm>
              <a:off x="250569" y="1936690"/>
              <a:ext cx="7442302" cy="2746862"/>
            </a:xfrm>
            <a:prstGeom prst="round1Rect">
              <a:avLst>
                <a:gd name="adj" fmla="val 0"/>
              </a:avLst>
            </a:prstGeom>
            <a:noFill/>
            <a:ln w="25400" cap="flat" cmpd="sng">
              <a:solidFill>
                <a:srgbClr val="75707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r" rtl="1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oneCellAnchor>
    <xdr:from>
      <xdr:col>1</xdr:col>
      <xdr:colOff>19050</xdr:colOff>
      <xdr:row>249</xdr:row>
      <xdr:rowOff>19050</xdr:rowOff>
    </xdr:from>
    <xdr:ext cx="7677150" cy="3257550"/>
    <xdr:grpSp>
      <xdr:nvGrpSpPr>
        <xdr:cNvPr id="25" name="Shape 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/>
      </xdr:nvGrpSpPr>
      <xdr:grpSpPr>
        <a:xfrm>
          <a:off x="15398237766" y="57863317"/>
          <a:ext cx="7677150" cy="3257550"/>
          <a:chOff x="1507425" y="2151225"/>
          <a:chExt cx="7677150" cy="3257550"/>
        </a:xfrm>
      </xdr:grpSpPr>
      <xdr:grpSp>
        <xdr:nvGrpSpPr>
          <xdr:cNvPr id="26" name="Shape 19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GrpSpPr/>
        </xdr:nvGrpSpPr>
        <xdr:grpSpPr>
          <a:xfrm>
            <a:off x="1507425" y="2151225"/>
            <a:ext cx="7677150" cy="3257550"/>
            <a:chOff x="250569" y="1445426"/>
            <a:chExt cx="7442302" cy="3237623"/>
          </a:xfrm>
        </xdr:grpSpPr>
        <xdr:sp macro="" textlink="">
          <xdr:nvSpPr>
            <xdr:cNvPr id="27" name="Shape 4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SpPr/>
          </xdr:nvSpPr>
          <xdr:spPr>
            <a:xfrm>
              <a:off x="250569" y="1445426"/>
              <a:ext cx="7442300" cy="32376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8" name="Shape 20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SpPr/>
          </xdr:nvSpPr>
          <xdr:spPr>
            <a:xfrm>
              <a:off x="250569" y="1445426"/>
              <a:ext cx="7442301" cy="477175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757070"/>
            </a:solidFill>
            <a:ln w="25400" cap="rnd" cmpd="sng">
              <a:solidFill>
                <a:srgbClr val="75707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0" rIns="91425" bIns="36000" anchor="ctr" anchorCtr="0">
              <a:noAutofit/>
            </a:bodyPr>
            <a:lstStyle/>
            <a:p>
              <a:pPr marL="0" lvl="0" indent="0" algn="ctr" rtl="1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2500" b="1" i="0">
                  <a:solidFill>
                    <a:schemeClr val="lt1"/>
                  </a:solidFill>
                  <a:latin typeface="Sakkal Majalla"/>
                  <a:ea typeface="Sakkal Majalla"/>
                  <a:cs typeface="Sakkal Majalla"/>
                  <a:sym typeface="Sakkal Majalla"/>
                </a:rPr>
                <a:t>تقييم جودة المقرر</a:t>
              </a:r>
              <a:endParaRPr sz="2500">
                <a:latin typeface="Sakkal Majalla"/>
                <a:ea typeface="Sakkal Majalla"/>
                <a:cs typeface="Sakkal Majalla"/>
                <a:sym typeface="Sakkal Majalla"/>
              </a:endParaRPr>
            </a:p>
          </xdr:txBody>
        </xdr:sp>
        <xdr:sp macro="" textlink="">
          <xdr:nvSpPr>
            <xdr:cNvPr id="29" name="Shape 21">
              <a:extLst>
                <a:ext uri="{FF2B5EF4-FFF2-40B4-BE49-F238E27FC236}">
                  <a16:creationId xmlns:a16="http://schemas.microsoft.com/office/drawing/2014/main" id="{00000000-0008-0000-0000-00001D000000}"/>
                </a:ext>
              </a:extLst>
            </xdr:cNvPr>
            <xdr:cNvSpPr/>
          </xdr:nvSpPr>
          <xdr:spPr>
            <a:xfrm>
              <a:off x="250569" y="1936689"/>
              <a:ext cx="7442302" cy="2746360"/>
            </a:xfrm>
            <a:prstGeom prst="round1Rect">
              <a:avLst>
                <a:gd name="adj" fmla="val 0"/>
              </a:avLst>
            </a:prstGeom>
            <a:noFill/>
            <a:ln w="25400" cap="flat" cmpd="sng">
              <a:solidFill>
                <a:srgbClr val="75707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r" rtl="1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oneCellAnchor>
    <xdr:from>
      <xdr:col>1</xdr:col>
      <xdr:colOff>19050</xdr:colOff>
      <xdr:row>267</xdr:row>
      <xdr:rowOff>19050</xdr:rowOff>
    </xdr:from>
    <xdr:ext cx="7677150" cy="150495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/>
      </xdr:nvGrpSpPr>
      <xdr:grpSpPr>
        <a:xfrm>
          <a:off x="15398237766" y="61440483"/>
          <a:ext cx="7677150" cy="1504950"/>
          <a:chOff x="1507425" y="3027525"/>
          <a:chExt cx="7677150" cy="1504950"/>
        </a:xfrm>
      </xdr:grpSpPr>
      <xdr:grpSp>
        <xdr:nvGrpSpPr>
          <xdr:cNvPr id="31" name="Shape 22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GrpSpPr/>
        </xdr:nvGrpSpPr>
        <xdr:grpSpPr>
          <a:xfrm>
            <a:off x="1507425" y="3027525"/>
            <a:ext cx="7677150" cy="1504950"/>
            <a:chOff x="250569" y="1445425"/>
            <a:chExt cx="7442302" cy="1553682"/>
          </a:xfrm>
        </xdr:grpSpPr>
        <xdr:sp macro="" textlink="">
          <xdr:nvSpPr>
            <xdr:cNvPr id="32" name="Shape 4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SpPr/>
          </xdr:nvSpPr>
          <xdr:spPr>
            <a:xfrm>
              <a:off x="250569" y="1445425"/>
              <a:ext cx="7442300" cy="15536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3" name="Shape 23">
              <a:extLst>
                <a:ext uri="{FF2B5EF4-FFF2-40B4-BE49-F238E27FC236}">
                  <a16:creationId xmlns:a16="http://schemas.microsoft.com/office/drawing/2014/main" id="{00000000-0008-0000-0000-000021000000}"/>
                </a:ext>
              </a:extLst>
            </xdr:cNvPr>
            <xdr:cNvSpPr/>
          </xdr:nvSpPr>
          <xdr:spPr>
            <a:xfrm>
              <a:off x="250569" y="1445425"/>
              <a:ext cx="7442301" cy="496955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757070"/>
            </a:solidFill>
            <a:ln w="25400" cap="rnd" cmpd="sng">
              <a:solidFill>
                <a:srgbClr val="75707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0" rIns="91425" bIns="36000" anchor="ctr" anchorCtr="0">
              <a:noAutofit/>
            </a:bodyPr>
            <a:lstStyle/>
            <a:p>
              <a:pPr marL="0" marR="0" lvl="0" indent="0" algn="ctr" rtl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FFFFFF"/>
                </a:buClr>
                <a:buSzPts val="2500"/>
                <a:buFont typeface="Sakkal Majalla"/>
                <a:buNone/>
              </a:pPr>
              <a:r>
                <a:rPr lang="en-US" sz="2500" b="1" i="0" u="none" strike="noStrike" cap="none">
                  <a:solidFill>
                    <a:srgbClr val="FFFFFF"/>
                  </a:solidFill>
                  <a:latin typeface="Sakkal Majalla"/>
                  <a:ea typeface="Sakkal Majalla"/>
                  <a:cs typeface="Sakkal Majalla"/>
                  <a:sym typeface="Sakkal Majalla"/>
                </a:rPr>
                <a:t>روابط مهمة</a:t>
              </a:r>
              <a:endParaRPr sz="1400"/>
            </a:p>
          </xdr:txBody>
        </xdr:sp>
        <xdr:sp macro="" textlink="">
          <xdr:nvSpPr>
            <xdr:cNvPr id="34" name="Shape 2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SpPr/>
          </xdr:nvSpPr>
          <xdr:spPr>
            <a:xfrm>
              <a:off x="250569" y="1936688"/>
              <a:ext cx="7442302" cy="1062419"/>
            </a:xfrm>
            <a:prstGeom prst="round1Rect">
              <a:avLst>
                <a:gd name="adj" fmla="val 0"/>
              </a:avLst>
            </a:prstGeom>
            <a:noFill/>
            <a:ln w="25400" cap="flat" cmpd="sng">
              <a:solidFill>
                <a:srgbClr val="75707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r" rtl="1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oneCellAnchor>
    <xdr:from>
      <xdr:col>1</xdr:col>
      <xdr:colOff>19050</xdr:colOff>
      <xdr:row>10</xdr:row>
      <xdr:rowOff>19050</xdr:rowOff>
    </xdr:from>
    <xdr:ext cx="7677150" cy="2447925"/>
    <xdr:grpSp>
      <xdr:nvGrpSpPr>
        <xdr:cNvPr id="35" name="Shape 2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15398237766" y="1636183"/>
          <a:ext cx="7677150" cy="2447925"/>
          <a:chOff x="1507425" y="2556038"/>
          <a:chExt cx="7677150" cy="2447925"/>
        </a:xfrm>
      </xdr:grpSpPr>
      <xdr:grpSp>
        <xdr:nvGrpSpPr>
          <xdr:cNvPr id="36" name="Shape 2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GrpSpPr/>
        </xdr:nvGrpSpPr>
        <xdr:grpSpPr>
          <a:xfrm>
            <a:off x="1507425" y="2556038"/>
            <a:ext cx="7677150" cy="2447925"/>
            <a:chOff x="250569" y="1445425"/>
            <a:chExt cx="7442302" cy="2517833"/>
          </a:xfrm>
        </xdr:grpSpPr>
        <xdr:sp macro="" textlink="">
          <xdr:nvSpPr>
            <xdr:cNvPr id="37" name="Shape 4">
              <a:extLst>
                <a:ext uri="{FF2B5EF4-FFF2-40B4-BE49-F238E27FC236}">
                  <a16:creationId xmlns:a16="http://schemas.microsoft.com/office/drawing/2014/main" id="{00000000-0008-0000-0000-000025000000}"/>
                </a:ext>
              </a:extLst>
            </xdr:cNvPr>
            <xdr:cNvSpPr/>
          </xdr:nvSpPr>
          <xdr:spPr>
            <a:xfrm>
              <a:off x="250569" y="1445425"/>
              <a:ext cx="7442300" cy="25178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8" name="Shape 26">
              <a:extLst>
                <a:ext uri="{FF2B5EF4-FFF2-40B4-BE49-F238E27FC236}">
                  <a16:creationId xmlns:a16="http://schemas.microsoft.com/office/drawing/2014/main" id="{00000000-0008-0000-0000-000026000000}"/>
                </a:ext>
              </a:extLst>
            </xdr:cNvPr>
            <xdr:cNvSpPr/>
          </xdr:nvSpPr>
          <xdr:spPr>
            <a:xfrm>
              <a:off x="250569" y="1445425"/>
              <a:ext cx="7442301" cy="494328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757070"/>
            </a:solidFill>
            <a:ln w="25400" cap="rnd" cmpd="sng">
              <a:solidFill>
                <a:srgbClr val="75707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0" rIns="91425" bIns="36000" anchor="ctr" anchorCtr="0">
              <a:noAutofit/>
            </a:bodyPr>
            <a:lstStyle/>
            <a:p>
              <a:pPr marL="0" marR="0" lvl="0" indent="0" algn="ctr" rtl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FFFFFF"/>
                </a:buClr>
                <a:buSzPts val="2500"/>
                <a:buFont typeface="Sakkal Majalla"/>
                <a:buNone/>
              </a:pPr>
              <a:r>
                <a:rPr lang="en-US" sz="2500" b="1" i="0" u="none" strike="noStrike" cap="none">
                  <a:solidFill>
                    <a:srgbClr val="FFFFFF"/>
                  </a:solidFill>
                  <a:latin typeface="Sakkal Majalla"/>
                  <a:ea typeface="Sakkal Majalla"/>
                  <a:cs typeface="Sakkal Majalla"/>
                  <a:sym typeface="Sakkal Majalla"/>
                </a:rPr>
                <a:t>بيانات المدرب</a:t>
              </a:r>
              <a:endParaRPr sz="1400"/>
            </a:p>
          </xdr:txBody>
        </xdr:sp>
        <xdr:sp macro="" textlink="">
          <xdr:nvSpPr>
            <xdr:cNvPr id="39" name="Shape 27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250569" y="1936688"/>
              <a:ext cx="7442302" cy="2026570"/>
            </a:xfrm>
            <a:prstGeom prst="round1Rect">
              <a:avLst>
                <a:gd name="adj" fmla="val 0"/>
              </a:avLst>
            </a:prstGeom>
            <a:noFill/>
            <a:ln w="25400" cap="flat" cmpd="sng">
              <a:solidFill>
                <a:srgbClr val="75707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r" rtl="1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oneCellAnchor>
    <xdr:from>
      <xdr:col>1</xdr:col>
      <xdr:colOff>9525</xdr:colOff>
      <xdr:row>144</xdr:row>
      <xdr:rowOff>9525</xdr:rowOff>
    </xdr:from>
    <xdr:ext cx="7696200" cy="495300"/>
    <xdr:sp macro="" textlink="">
      <xdr:nvSpPr>
        <xdr:cNvPr id="40" name="Shape 28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1507425" y="3541875"/>
          <a:ext cx="7677150" cy="476250"/>
        </a:xfrm>
        <a:prstGeom prst="round2SameRect">
          <a:avLst>
            <a:gd name="adj1" fmla="val 50000"/>
            <a:gd name="adj2" fmla="val 0"/>
          </a:avLst>
        </a:prstGeom>
        <a:solidFill>
          <a:srgbClr val="757070"/>
        </a:solidFill>
        <a:ln w="25400" cap="rnd" cmpd="sng">
          <a:solidFill>
            <a:srgbClr val="75707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0" rIns="91425" bIns="36000" anchor="ctr" anchorCtr="0">
          <a:noAutofit/>
        </a:bodyPr>
        <a:lstStyle/>
        <a:p>
          <a:pPr marL="0" marR="0" lvl="0" indent="0" algn="ctr" rtl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2500"/>
            <a:buFont typeface="Sakkal Majalla"/>
            <a:buNone/>
          </a:pPr>
          <a:r>
            <a:rPr lang="en-US" sz="2500" b="1" i="0" u="none" strike="noStrike" cap="none">
              <a:solidFill>
                <a:srgbClr val="FFFFFF"/>
              </a:solidFill>
              <a:latin typeface="Sakkal Majalla"/>
              <a:ea typeface="Sakkal Majalla"/>
              <a:cs typeface="Sakkal Majalla"/>
              <a:sym typeface="Sakkal Majalla"/>
            </a:rPr>
            <a:t>الخطة التدريبية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145</xdr:row>
      <xdr:rowOff>19050</xdr:rowOff>
    </xdr:from>
    <xdr:ext cx="7696200" cy="9753600"/>
    <xdr:sp macro="" textlink="">
      <xdr:nvSpPr>
        <xdr:cNvPr id="41" name="Shape 29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1507425" y="0"/>
          <a:ext cx="7677150" cy="7560000"/>
        </a:xfrm>
        <a:prstGeom prst="round1Rect">
          <a:avLst>
            <a:gd name="adj" fmla="val 0"/>
          </a:avLst>
        </a:prstGeom>
        <a:noFill/>
        <a:ln w="25400" cap="flat" cmpd="sng">
          <a:solidFill>
            <a:srgbClr val="75707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19050</xdr:colOff>
      <xdr:row>26</xdr:row>
      <xdr:rowOff>19050</xdr:rowOff>
    </xdr:from>
    <xdr:ext cx="7677150" cy="7362825"/>
    <xdr:grpSp>
      <xdr:nvGrpSpPr>
        <xdr:cNvPr id="42" name="Shape 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pSpPr/>
      </xdr:nvGrpSpPr>
      <xdr:grpSpPr>
        <a:xfrm>
          <a:off x="15398237766" y="4358217"/>
          <a:ext cx="7677150" cy="7362825"/>
          <a:chOff x="1507425" y="98588"/>
          <a:chExt cx="7677150" cy="7362825"/>
        </a:xfrm>
      </xdr:grpSpPr>
      <xdr:grpSp>
        <xdr:nvGrpSpPr>
          <xdr:cNvPr id="43" name="Shape 30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GrpSpPr/>
        </xdr:nvGrpSpPr>
        <xdr:grpSpPr>
          <a:xfrm>
            <a:off x="1507425" y="98588"/>
            <a:ext cx="7677150" cy="7362825"/>
            <a:chOff x="250569" y="1445424"/>
            <a:chExt cx="7442302" cy="7263136"/>
          </a:xfrm>
        </xdr:grpSpPr>
        <xdr:sp macro="" textlink="">
          <xdr:nvSpPr>
            <xdr:cNvPr id="44" name="Shape 4">
              <a:extLst>
                <a:ext uri="{FF2B5EF4-FFF2-40B4-BE49-F238E27FC236}">
                  <a16:creationId xmlns:a16="http://schemas.microsoft.com/office/drawing/2014/main" id="{00000000-0008-0000-0000-00002C000000}"/>
                </a:ext>
              </a:extLst>
            </xdr:cNvPr>
            <xdr:cNvSpPr/>
          </xdr:nvSpPr>
          <xdr:spPr>
            <a:xfrm>
              <a:off x="250569" y="1445424"/>
              <a:ext cx="7442300" cy="7263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31">
              <a:extLst>
                <a:ext uri="{FF2B5EF4-FFF2-40B4-BE49-F238E27FC236}">
                  <a16:creationId xmlns:a16="http://schemas.microsoft.com/office/drawing/2014/main" id="{00000000-0008-0000-0000-00002D000000}"/>
                </a:ext>
              </a:extLst>
            </xdr:cNvPr>
            <xdr:cNvSpPr/>
          </xdr:nvSpPr>
          <xdr:spPr>
            <a:xfrm>
              <a:off x="250569" y="1445424"/>
              <a:ext cx="7442301" cy="472334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757070"/>
            </a:solidFill>
            <a:ln w="25400" cap="rnd" cmpd="sng">
              <a:solidFill>
                <a:srgbClr val="75707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0" rIns="91425" bIns="36000" anchor="ctr" anchorCtr="0">
              <a:noAutofit/>
            </a:bodyPr>
            <a:lstStyle/>
            <a:p>
              <a:pPr marL="0" marR="0" lvl="0" indent="0" algn="ctr" rtl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FFFFFF"/>
                </a:buClr>
                <a:buSzPts val="2500"/>
                <a:buFont typeface="Sakkal Majalla"/>
                <a:buNone/>
              </a:pPr>
              <a:r>
                <a:rPr lang="en-US" sz="2500" b="1" i="0" u="none" strike="noStrike" cap="none">
                  <a:solidFill>
                    <a:srgbClr val="FFFFFF"/>
                  </a:solidFill>
                  <a:latin typeface="Sakkal Majalla"/>
                  <a:ea typeface="Sakkal Majalla"/>
                  <a:cs typeface="Sakkal Majalla"/>
                  <a:sym typeface="Sakkal Majalla"/>
                </a:rPr>
                <a:t>وسيلة التواصل</a:t>
              </a:r>
              <a:endParaRPr sz="1400"/>
            </a:p>
          </xdr:txBody>
        </xdr:sp>
        <xdr:sp macro="" textlink="">
          <xdr:nvSpPr>
            <xdr:cNvPr id="46" name="Shape 32">
              <a:extLst>
                <a:ext uri="{FF2B5EF4-FFF2-40B4-BE49-F238E27FC236}">
                  <a16:creationId xmlns:a16="http://schemas.microsoft.com/office/drawing/2014/main" id="{00000000-0008-0000-0000-00002E000000}"/>
                </a:ext>
              </a:extLst>
            </xdr:cNvPr>
            <xdr:cNvSpPr/>
          </xdr:nvSpPr>
          <xdr:spPr>
            <a:xfrm>
              <a:off x="250569" y="1936649"/>
              <a:ext cx="7442302" cy="6771911"/>
            </a:xfrm>
            <a:prstGeom prst="round1Rect">
              <a:avLst>
                <a:gd name="adj" fmla="val 0"/>
              </a:avLst>
            </a:prstGeom>
            <a:noFill/>
            <a:ln w="25400" cap="flat" cmpd="sng">
              <a:solidFill>
                <a:srgbClr val="75707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r" rtl="1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oneCellAnchor>
    <xdr:from>
      <xdr:col>1</xdr:col>
      <xdr:colOff>19050</xdr:colOff>
      <xdr:row>124</xdr:row>
      <xdr:rowOff>28575</xdr:rowOff>
    </xdr:from>
    <xdr:ext cx="7677150" cy="10267950"/>
    <xdr:grpSp>
      <xdr:nvGrpSpPr>
        <xdr:cNvPr id="47" name="Shape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15398237766" y="22575308"/>
          <a:ext cx="7677150" cy="10267950"/>
          <a:chOff x="1507425" y="0"/>
          <a:chExt cx="7677150" cy="7560000"/>
        </a:xfrm>
      </xdr:grpSpPr>
      <xdr:grpSp>
        <xdr:nvGrpSpPr>
          <xdr:cNvPr id="48" name="Shape 33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GrpSpPr/>
        </xdr:nvGrpSpPr>
        <xdr:grpSpPr>
          <a:xfrm>
            <a:off x="1507425" y="0"/>
            <a:ext cx="7677150" cy="7560000"/>
            <a:chOff x="250569" y="1445426"/>
            <a:chExt cx="7442302" cy="10287790"/>
          </a:xfrm>
        </xdr:grpSpPr>
        <xdr:sp macro="" textlink="">
          <xdr:nvSpPr>
            <xdr:cNvPr id="49" name="Shape 4">
              <a:extLst>
                <a:ext uri="{FF2B5EF4-FFF2-40B4-BE49-F238E27FC236}">
                  <a16:creationId xmlns:a16="http://schemas.microsoft.com/office/drawing/2014/main" id="{00000000-0008-0000-0000-000031000000}"/>
                </a:ext>
              </a:extLst>
            </xdr:cNvPr>
            <xdr:cNvSpPr/>
          </xdr:nvSpPr>
          <xdr:spPr>
            <a:xfrm>
              <a:off x="250569" y="1445426"/>
              <a:ext cx="7442300" cy="102877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0" name="Shape 34">
              <a:extLst>
                <a:ext uri="{FF2B5EF4-FFF2-40B4-BE49-F238E27FC236}">
                  <a16:creationId xmlns:a16="http://schemas.microsoft.com/office/drawing/2014/main" id="{00000000-0008-0000-0000-000032000000}"/>
                </a:ext>
              </a:extLst>
            </xdr:cNvPr>
            <xdr:cNvSpPr/>
          </xdr:nvSpPr>
          <xdr:spPr>
            <a:xfrm>
              <a:off x="250569" y="1445426"/>
              <a:ext cx="7442301" cy="478734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757070"/>
            </a:solidFill>
            <a:ln w="25400" cap="rnd" cmpd="sng">
              <a:solidFill>
                <a:srgbClr val="75707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0" rIns="91425" bIns="36000" anchor="ctr" anchorCtr="0">
              <a:noAutofit/>
            </a:bodyPr>
            <a:lstStyle/>
            <a:p>
              <a:pPr marL="0" marR="0" lvl="0" indent="0" algn="ctr" rtl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FFFFFF"/>
                </a:buClr>
                <a:buSzPts val="2500"/>
                <a:buFont typeface="Sakkal Majalla"/>
                <a:buNone/>
              </a:pPr>
              <a:r>
                <a:rPr lang="en-US" sz="2500" b="1" i="0" u="none" strike="noStrike" cap="none">
                  <a:solidFill>
                    <a:srgbClr val="FFFFFF"/>
                  </a:solidFill>
                  <a:latin typeface="Sakkal Majalla"/>
                  <a:ea typeface="Sakkal Majalla"/>
                  <a:cs typeface="Sakkal Majalla"/>
                  <a:sym typeface="Sakkal Majalla"/>
                </a:rPr>
                <a:t>متطلبات التدريب في المقرر التدريبي</a:t>
              </a:r>
              <a:endParaRPr sz="1400"/>
            </a:p>
          </xdr:txBody>
        </xdr:sp>
        <xdr:sp macro="" textlink="">
          <xdr:nvSpPr>
            <xdr:cNvPr id="51" name="Shape 35">
              <a:extLst>
                <a:ext uri="{FF2B5EF4-FFF2-40B4-BE49-F238E27FC236}">
                  <a16:creationId xmlns:a16="http://schemas.microsoft.com/office/drawing/2014/main" id="{00000000-0008-0000-0000-000033000000}"/>
                </a:ext>
              </a:extLst>
            </xdr:cNvPr>
            <xdr:cNvSpPr/>
          </xdr:nvSpPr>
          <xdr:spPr>
            <a:xfrm>
              <a:off x="250569" y="1936686"/>
              <a:ext cx="7442302" cy="9796530"/>
            </a:xfrm>
            <a:prstGeom prst="round1Rect">
              <a:avLst>
                <a:gd name="adj" fmla="val 0"/>
              </a:avLst>
            </a:prstGeom>
            <a:noFill/>
            <a:ln w="25400" cap="flat" cmpd="sng">
              <a:solidFill>
                <a:srgbClr val="75707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r" rtl="1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oneCellAnchor>
    <xdr:from>
      <xdr:col>1</xdr:col>
      <xdr:colOff>9525</xdr:colOff>
      <xdr:row>186</xdr:row>
      <xdr:rowOff>9525</xdr:rowOff>
    </xdr:from>
    <xdr:ext cx="7696200" cy="495300"/>
    <xdr:sp macro="" textlink="">
      <xdr:nvSpPr>
        <xdr:cNvPr id="52" name="Shape 36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1507425" y="3541875"/>
          <a:ext cx="7677150" cy="476250"/>
        </a:xfrm>
        <a:prstGeom prst="round2SameRect">
          <a:avLst>
            <a:gd name="adj1" fmla="val 50000"/>
            <a:gd name="adj2" fmla="val 0"/>
          </a:avLst>
        </a:prstGeom>
        <a:solidFill>
          <a:srgbClr val="757070"/>
        </a:solidFill>
        <a:ln w="25400" cap="rnd" cmpd="sng">
          <a:solidFill>
            <a:srgbClr val="75707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0" rIns="91425" bIns="36000" anchor="ctr" anchorCtr="0">
          <a:noAutofit/>
        </a:bodyPr>
        <a:lstStyle/>
        <a:p>
          <a:pPr marL="0" marR="0" lvl="0" indent="0" algn="ctr" rtl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2500"/>
            <a:buFont typeface="Sakkal Majalla"/>
            <a:buNone/>
          </a:pPr>
          <a:r>
            <a:rPr lang="en-US" sz="2500" b="1" i="0" u="none" strike="noStrike" cap="none">
              <a:solidFill>
                <a:srgbClr val="FFFFFF"/>
              </a:solidFill>
              <a:latin typeface="Sakkal Majalla"/>
              <a:ea typeface="Sakkal Majalla"/>
              <a:cs typeface="Sakkal Majalla"/>
              <a:sym typeface="Sakkal Majalla"/>
            </a:rPr>
            <a:t>الخطة التدريبية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188</xdr:row>
      <xdr:rowOff>0</xdr:rowOff>
    </xdr:from>
    <xdr:ext cx="7696200" cy="9810750"/>
    <xdr:sp macro="" textlink="">
      <xdr:nvSpPr>
        <xdr:cNvPr id="53" name="Shape 29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1507425" y="0"/>
          <a:ext cx="7677150" cy="7560000"/>
        </a:xfrm>
        <a:prstGeom prst="round1Rect">
          <a:avLst>
            <a:gd name="adj" fmla="val 0"/>
          </a:avLst>
        </a:prstGeom>
        <a:noFill/>
        <a:ln w="25400" cap="flat" cmpd="sng">
          <a:solidFill>
            <a:srgbClr val="75707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82</xdr:col>
      <xdr:colOff>0</xdr:colOff>
      <xdr:row>241</xdr:row>
      <xdr:rowOff>142875</xdr:rowOff>
    </xdr:from>
    <xdr:ext cx="1971675" cy="190500"/>
    <xdr:sp macro="" textlink="">
      <xdr:nvSpPr>
        <xdr:cNvPr id="54" name="Shape 3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4364925" y="3689513"/>
          <a:ext cx="1962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81</xdr:col>
      <xdr:colOff>38100</xdr:colOff>
      <xdr:row>243</xdr:row>
      <xdr:rowOff>142875</xdr:rowOff>
    </xdr:from>
    <xdr:ext cx="1981200" cy="190500"/>
    <xdr:sp macro="" textlink="">
      <xdr:nvSpPr>
        <xdr:cNvPr id="55" name="Shape 3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4360163" y="3689513"/>
          <a:ext cx="197167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80</xdr:col>
      <xdr:colOff>28575</xdr:colOff>
      <xdr:row>239</xdr:row>
      <xdr:rowOff>123825</xdr:rowOff>
    </xdr:from>
    <xdr:ext cx="1981200" cy="190500"/>
    <xdr:sp macro="" textlink="">
      <xdr:nvSpPr>
        <xdr:cNvPr id="56" name="Shape 3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4360163" y="3689513"/>
          <a:ext cx="197167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38100</xdr:colOff>
      <xdr:row>271</xdr:row>
      <xdr:rowOff>209550</xdr:rowOff>
    </xdr:from>
    <xdr:ext cx="876300" cy="114300"/>
    <xdr:sp macro="" textlink="">
      <xdr:nvSpPr>
        <xdr:cNvPr id="57" name="Shape 4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4912613" y="3727613"/>
          <a:ext cx="8667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31</xdr:col>
      <xdr:colOff>28575</xdr:colOff>
      <xdr:row>271</xdr:row>
      <xdr:rowOff>200025</xdr:rowOff>
    </xdr:from>
    <xdr:ext cx="923925" cy="114300"/>
    <xdr:sp macro="" textlink="">
      <xdr:nvSpPr>
        <xdr:cNvPr id="58" name="Shape 4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4888800" y="3727613"/>
          <a:ext cx="91440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74</xdr:col>
      <xdr:colOff>38100</xdr:colOff>
      <xdr:row>271</xdr:row>
      <xdr:rowOff>209550</xdr:rowOff>
    </xdr:from>
    <xdr:ext cx="876300" cy="114300"/>
    <xdr:sp macro="" textlink="">
      <xdr:nvSpPr>
        <xdr:cNvPr id="59" name="Shape 4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4912613" y="3727613"/>
          <a:ext cx="8667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95</xdr:col>
      <xdr:colOff>0</xdr:colOff>
      <xdr:row>271</xdr:row>
      <xdr:rowOff>171450</xdr:rowOff>
    </xdr:from>
    <xdr:ext cx="1038225" cy="219075"/>
    <xdr:sp macro="" textlink="">
      <xdr:nvSpPr>
        <xdr:cNvPr id="60" name="Shape 43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4831650" y="3675225"/>
          <a:ext cx="102870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54</xdr:col>
      <xdr:colOff>38100</xdr:colOff>
      <xdr:row>271</xdr:row>
      <xdr:rowOff>219075</xdr:rowOff>
    </xdr:from>
    <xdr:ext cx="790575" cy="114300"/>
    <xdr:sp macro="" textlink="">
      <xdr:nvSpPr>
        <xdr:cNvPr id="61" name="Shape 4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4955475" y="3727613"/>
          <a:ext cx="7810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9525</xdr:colOff>
      <xdr:row>226</xdr:row>
      <xdr:rowOff>85725</xdr:rowOff>
    </xdr:from>
    <xdr:ext cx="428625" cy="38100"/>
    <xdr:sp macro="" textlink="">
      <xdr:nvSpPr>
        <xdr:cNvPr id="62" name="Shape 4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5131688" y="3775238"/>
          <a:ext cx="4286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83</xdr:col>
      <xdr:colOff>0</xdr:colOff>
      <xdr:row>241</xdr:row>
      <xdr:rowOff>142875</xdr:rowOff>
    </xdr:from>
    <xdr:ext cx="1971675" cy="190500"/>
    <xdr:sp macro="" textlink="">
      <xdr:nvSpPr>
        <xdr:cNvPr id="63" name="Shape 3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4364925" y="3689513"/>
          <a:ext cx="1962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82</xdr:col>
      <xdr:colOff>38100</xdr:colOff>
      <xdr:row>243</xdr:row>
      <xdr:rowOff>142875</xdr:rowOff>
    </xdr:from>
    <xdr:ext cx="1981200" cy="190500"/>
    <xdr:sp macro="" textlink="">
      <xdr:nvSpPr>
        <xdr:cNvPr id="64" name="Shape 3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4360163" y="3689513"/>
          <a:ext cx="197167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82</xdr:col>
      <xdr:colOff>0</xdr:colOff>
      <xdr:row>241</xdr:row>
      <xdr:rowOff>142875</xdr:rowOff>
    </xdr:from>
    <xdr:ext cx="1971675" cy="190500"/>
    <xdr:sp macro="" textlink="">
      <xdr:nvSpPr>
        <xdr:cNvPr id="65" name="Shape 3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4364925" y="3689513"/>
          <a:ext cx="1962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81</xdr:col>
      <xdr:colOff>38100</xdr:colOff>
      <xdr:row>243</xdr:row>
      <xdr:rowOff>142875</xdr:rowOff>
    </xdr:from>
    <xdr:ext cx="1981200" cy="190500"/>
    <xdr:sp macro="" textlink="">
      <xdr:nvSpPr>
        <xdr:cNvPr id="66" name="Shape 4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4360163" y="3689513"/>
          <a:ext cx="197167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97</xdr:col>
      <xdr:colOff>0</xdr:colOff>
      <xdr:row>271</xdr:row>
      <xdr:rowOff>200025</xdr:rowOff>
    </xdr:from>
    <xdr:ext cx="828675" cy="114300"/>
    <xdr:sp macro="" textlink="">
      <xdr:nvSpPr>
        <xdr:cNvPr id="67" name="Shape 4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4936425" y="3727613"/>
          <a:ext cx="8191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44</xdr:col>
      <xdr:colOff>38100</xdr:colOff>
      <xdr:row>239</xdr:row>
      <xdr:rowOff>142875</xdr:rowOff>
    </xdr:from>
    <xdr:ext cx="1981200" cy="190500"/>
    <xdr:sp macro="" textlink="">
      <xdr:nvSpPr>
        <xdr:cNvPr id="68" name="Shape 4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4360163" y="3689513"/>
          <a:ext cx="197167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44</xdr:col>
      <xdr:colOff>38100</xdr:colOff>
      <xdr:row>241</xdr:row>
      <xdr:rowOff>142875</xdr:rowOff>
    </xdr:from>
    <xdr:ext cx="1981200" cy="190500"/>
    <xdr:sp macro="" textlink="">
      <xdr:nvSpPr>
        <xdr:cNvPr id="69" name="Shape 4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4360163" y="3689513"/>
          <a:ext cx="197167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79</xdr:col>
      <xdr:colOff>0</xdr:colOff>
      <xdr:row>255</xdr:row>
      <xdr:rowOff>123825</xdr:rowOff>
    </xdr:from>
    <xdr:ext cx="2162175" cy="114300"/>
    <xdr:sp macro="" textlink="">
      <xdr:nvSpPr>
        <xdr:cNvPr id="70" name="Shape 5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4269675" y="3727613"/>
          <a:ext cx="21526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79</xdr:col>
      <xdr:colOff>0</xdr:colOff>
      <xdr:row>257</xdr:row>
      <xdr:rowOff>133350</xdr:rowOff>
    </xdr:from>
    <xdr:ext cx="2162175" cy="114300"/>
    <xdr:sp macro="" textlink="">
      <xdr:nvSpPr>
        <xdr:cNvPr id="71" name="Shape 51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4269675" y="3727613"/>
          <a:ext cx="21526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79</xdr:col>
      <xdr:colOff>0</xdr:colOff>
      <xdr:row>259</xdr:row>
      <xdr:rowOff>123825</xdr:rowOff>
    </xdr:from>
    <xdr:ext cx="2162175" cy="114300"/>
    <xdr:sp macro="" textlink="">
      <xdr:nvSpPr>
        <xdr:cNvPr id="72" name="Shape 5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4269675" y="3727613"/>
          <a:ext cx="21526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79</xdr:col>
      <xdr:colOff>0</xdr:colOff>
      <xdr:row>261</xdr:row>
      <xdr:rowOff>133350</xdr:rowOff>
    </xdr:from>
    <xdr:ext cx="2162175" cy="114300"/>
    <xdr:sp macro="" textlink="">
      <xdr:nvSpPr>
        <xdr:cNvPr id="73" name="Shape 5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4269675" y="3727613"/>
          <a:ext cx="2152650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AAD296"/>
  <sheetViews>
    <sheetView showGridLines="0" rightToLeft="1" tabSelected="1" workbookViewId="0"/>
  </sheetViews>
  <sheetFormatPr defaultColWidth="12.625" defaultRowHeight="15" customHeight="1" x14ac:dyDescent="0.15"/>
  <cols>
    <col min="1" max="1" width="2.57421875" customWidth="1"/>
    <col min="2" max="2" width="0.3671875" customWidth="1"/>
    <col min="3" max="117" width="0.85546875" customWidth="1"/>
    <col min="118" max="118" width="0.3671875" customWidth="1"/>
    <col min="119" max="119" width="2.57421875" customWidth="1"/>
    <col min="120" max="706" width="8.94921875" hidden="1" customWidth="1"/>
  </cols>
  <sheetData>
    <row r="1" spans="1:706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2"/>
      <c r="DA1" s="2"/>
      <c r="DB1" s="2"/>
      <c r="DC1" s="2"/>
      <c r="DD1" s="2"/>
      <c r="DE1" s="2"/>
      <c r="DF1" s="3"/>
      <c r="DG1" s="3"/>
      <c r="DH1" s="3"/>
      <c r="DI1" s="3"/>
      <c r="DJ1" s="3"/>
      <c r="DK1" s="3"/>
      <c r="DL1" s="3"/>
      <c r="DM1" s="3"/>
      <c r="DN1" s="3"/>
      <c r="DO1" s="3"/>
    </row>
    <row r="2" spans="1:706" ht="19.5" customHeight="1" x14ac:dyDescent="0.1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142" t="s">
        <v>0</v>
      </c>
      <c r="BU2" s="118"/>
      <c r="BV2" s="118"/>
      <c r="BW2" s="118"/>
      <c r="BX2" s="118"/>
      <c r="BY2" s="118"/>
      <c r="BZ2" s="118"/>
      <c r="CA2" s="118"/>
      <c r="CB2" s="118"/>
      <c r="CC2" s="118"/>
      <c r="CD2" s="118"/>
      <c r="CE2" s="118"/>
      <c r="CF2" s="118"/>
      <c r="CG2" s="118"/>
      <c r="CH2" s="118"/>
      <c r="CI2" s="118"/>
      <c r="CJ2" s="118"/>
      <c r="CK2" s="118"/>
      <c r="CL2" s="118"/>
      <c r="CM2" s="118"/>
      <c r="CN2" s="118"/>
      <c r="CO2" s="118"/>
      <c r="CP2" s="118"/>
      <c r="CQ2" s="118"/>
      <c r="CR2" s="118"/>
      <c r="CS2" s="118"/>
      <c r="CT2" s="118"/>
      <c r="CU2" s="118"/>
      <c r="CV2" s="118"/>
      <c r="CW2" s="118"/>
      <c r="CX2" s="118"/>
      <c r="CY2" s="118"/>
      <c r="CZ2" s="118"/>
      <c r="DA2" s="118"/>
      <c r="DB2" s="118"/>
      <c r="DC2" s="118"/>
      <c r="DD2" s="118"/>
      <c r="DE2" s="118"/>
      <c r="DF2" s="118"/>
      <c r="DG2" s="118"/>
      <c r="DH2" s="118"/>
      <c r="DI2" s="118"/>
      <c r="DJ2" s="118"/>
      <c r="DK2" s="118"/>
      <c r="DL2" s="118"/>
      <c r="DM2" s="118"/>
      <c r="DN2" s="118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</row>
    <row r="3" spans="1:706" ht="17.25" customHeight="1" x14ac:dyDescent="0.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118"/>
      <c r="BU3" s="118"/>
      <c r="BV3" s="118"/>
      <c r="BW3" s="118"/>
      <c r="BX3" s="118"/>
      <c r="BY3" s="118"/>
      <c r="BZ3" s="118"/>
      <c r="CA3" s="118"/>
      <c r="CB3" s="118"/>
      <c r="CC3" s="118"/>
      <c r="CD3" s="118"/>
      <c r="CE3" s="118"/>
      <c r="CF3" s="118"/>
      <c r="CG3" s="118"/>
      <c r="CH3" s="118"/>
      <c r="CI3" s="118"/>
      <c r="CJ3" s="118"/>
      <c r="CK3" s="118"/>
      <c r="CL3" s="118"/>
      <c r="CM3" s="118"/>
      <c r="CN3" s="118"/>
      <c r="CO3" s="118"/>
      <c r="CP3" s="118"/>
      <c r="CQ3" s="118"/>
      <c r="CR3" s="118"/>
      <c r="CS3" s="118"/>
      <c r="CT3" s="118"/>
      <c r="CU3" s="118"/>
      <c r="CV3" s="118"/>
      <c r="CW3" s="118"/>
      <c r="CX3" s="118"/>
      <c r="CY3" s="118"/>
      <c r="CZ3" s="118"/>
      <c r="DA3" s="118"/>
      <c r="DB3" s="118"/>
      <c r="DC3" s="118"/>
      <c r="DD3" s="118"/>
      <c r="DE3" s="118"/>
      <c r="DF3" s="118"/>
      <c r="DG3" s="118"/>
      <c r="DH3" s="118"/>
      <c r="DI3" s="118"/>
      <c r="DJ3" s="118"/>
      <c r="DK3" s="118"/>
      <c r="DL3" s="118"/>
      <c r="DM3" s="118"/>
      <c r="DN3" s="118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</row>
    <row r="4" spans="1:706" ht="9.75" customHeight="1" x14ac:dyDescent="0.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118"/>
      <c r="BU4" s="118"/>
      <c r="BV4" s="118"/>
      <c r="BW4" s="118"/>
      <c r="BX4" s="118"/>
      <c r="BY4" s="118"/>
      <c r="BZ4" s="118"/>
      <c r="CA4" s="118"/>
      <c r="CB4" s="118"/>
      <c r="CC4" s="118"/>
      <c r="CD4" s="118"/>
      <c r="CE4" s="118"/>
      <c r="CF4" s="118"/>
      <c r="CG4" s="118"/>
      <c r="CH4" s="118"/>
      <c r="CI4" s="118"/>
      <c r="CJ4" s="118"/>
      <c r="CK4" s="118"/>
      <c r="CL4" s="118"/>
      <c r="CM4" s="118"/>
      <c r="CN4" s="118"/>
      <c r="CO4" s="118"/>
      <c r="CP4" s="118"/>
      <c r="CQ4" s="118"/>
      <c r="CR4" s="118"/>
      <c r="CS4" s="118"/>
      <c r="CT4" s="118"/>
      <c r="CU4" s="118"/>
      <c r="CV4" s="118"/>
      <c r="CW4" s="118"/>
      <c r="CX4" s="118"/>
      <c r="CY4" s="118"/>
      <c r="CZ4" s="118"/>
      <c r="DA4" s="118"/>
      <c r="DB4" s="118"/>
      <c r="DC4" s="118"/>
      <c r="DD4" s="118"/>
      <c r="DE4" s="118"/>
      <c r="DF4" s="118"/>
      <c r="DG4" s="118"/>
      <c r="DH4" s="118"/>
      <c r="DI4" s="118"/>
      <c r="DJ4" s="118"/>
      <c r="DK4" s="118"/>
      <c r="DL4" s="118"/>
      <c r="DM4" s="118"/>
      <c r="DN4" s="118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</row>
    <row r="5" spans="1:706" ht="9.75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143" t="s">
        <v>1</v>
      </c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8"/>
      <c r="BF5" s="118"/>
      <c r="BG5" s="118"/>
      <c r="BH5" s="118"/>
      <c r="BI5" s="118"/>
      <c r="BJ5" s="118"/>
      <c r="BK5" s="118"/>
      <c r="BL5" s="118"/>
      <c r="BM5" s="118"/>
      <c r="BN5" s="118"/>
      <c r="BO5" s="118"/>
      <c r="BP5" s="6"/>
      <c r="BQ5" s="6"/>
      <c r="BR5" s="6"/>
      <c r="BS5" s="6"/>
      <c r="BT5" s="143" t="s">
        <v>2</v>
      </c>
      <c r="BU5" s="118"/>
      <c r="BV5" s="118"/>
      <c r="BW5" s="118"/>
      <c r="BX5" s="118"/>
      <c r="BY5" s="118"/>
      <c r="BZ5" s="118"/>
      <c r="CA5" s="118"/>
      <c r="CB5" s="118"/>
      <c r="CC5" s="118"/>
      <c r="CD5" s="118"/>
      <c r="CE5" s="118"/>
      <c r="CF5" s="118"/>
      <c r="CG5" s="118"/>
      <c r="CH5" s="118"/>
      <c r="CI5" s="118"/>
      <c r="CJ5" s="118"/>
      <c r="CK5" s="118"/>
      <c r="CL5" s="118"/>
      <c r="CM5" s="118"/>
      <c r="CN5" s="118"/>
      <c r="CO5" s="118"/>
      <c r="CP5" s="118"/>
      <c r="CQ5" s="118"/>
      <c r="CR5" s="118"/>
      <c r="CS5" s="118"/>
      <c r="CT5" s="118"/>
      <c r="CU5" s="118"/>
      <c r="CV5" s="118"/>
      <c r="CW5" s="118"/>
      <c r="CX5" s="118"/>
      <c r="CY5" s="118"/>
      <c r="CZ5" s="118"/>
      <c r="DA5" s="118"/>
      <c r="DB5" s="118"/>
      <c r="DC5" s="118"/>
      <c r="DD5" s="118"/>
      <c r="DE5" s="118"/>
      <c r="DF5" s="118"/>
      <c r="DG5" s="118"/>
      <c r="DH5" s="118"/>
      <c r="DI5" s="118"/>
      <c r="DJ5" s="118"/>
      <c r="DK5" s="118"/>
      <c r="DL5" s="118"/>
      <c r="DM5" s="118"/>
      <c r="DN5" s="118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</row>
    <row r="6" spans="1:706" ht="19.5" customHeight="1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8"/>
      <c r="BF6" s="118"/>
      <c r="BG6" s="118"/>
      <c r="BH6" s="118"/>
      <c r="BI6" s="118"/>
      <c r="BJ6" s="118"/>
      <c r="BK6" s="118"/>
      <c r="BL6" s="118"/>
      <c r="BM6" s="118"/>
      <c r="BN6" s="118"/>
      <c r="BO6" s="118"/>
      <c r="BP6" s="6"/>
      <c r="BQ6" s="6"/>
      <c r="BR6" s="6"/>
      <c r="BS6" s="6"/>
      <c r="BT6" s="118"/>
      <c r="BU6" s="118"/>
      <c r="BV6" s="118"/>
      <c r="BW6" s="118"/>
      <c r="BX6" s="118"/>
      <c r="BY6" s="118"/>
      <c r="BZ6" s="118"/>
      <c r="CA6" s="118"/>
      <c r="CB6" s="118"/>
      <c r="CC6" s="118"/>
      <c r="CD6" s="118"/>
      <c r="CE6" s="118"/>
      <c r="CF6" s="118"/>
      <c r="CG6" s="118"/>
      <c r="CH6" s="118"/>
      <c r="CI6" s="118"/>
      <c r="CJ6" s="118"/>
      <c r="CK6" s="118"/>
      <c r="CL6" s="118"/>
      <c r="CM6" s="118"/>
      <c r="CN6" s="118"/>
      <c r="CO6" s="118"/>
      <c r="CP6" s="118"/>
      <c r="CQ6" s="118"/>
      <c r="CR6" s="118"/>
      <c r="CS6" s="118"/>
      <c r="CT6" s="118"/>
      <c r="CU6" s="118"/>
      <c r="CV6" s="118"/>
      <c r="CW6" s="118"/>
      <c r="CX6" s="118"/>
      <c r="CY6" s="118"/>
      <c r="CZ6" s="118"/>
      <c r="DA6" s="118"/>
      <c r="DB6" s="118"/>
      <c r="DC6" s="118"/>
      <c r="DD6" s="118"/>
      <c r="DE6" s="118"/>
      <c r="DF6" s="118"/>
      <c r="DG6" s="118"/>
      <c r="DH6" s="118"/>
      <c r="DI6" s="118"/>
      <c r="DJ6" s="118"/>
      <c r="DK6" s="118"/>
      <c r="DL6" s="118"/>
      <c r="DM6" s="118"/>
      <c r="DN6" s="118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</row>
    <row r="7" spans="1:706" ht="1.5" customHeight="1" x14ac:dyDescent="0.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6"/>
      <c r="BN7" s="6"/>
      <c r="BO7" s="6"/>
      <c r="BP7" s="6"/>
      <c r="BQ7" s="6"/>
      <c r="BR7" s="6"/>
      <c r="BS7" s="6"/>
      <c r="BT7" s="6"/>
      <c r="BU7" s="6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</row>
    <row r="8" spans="1:706" ht="15" customHeight="1" x14ac:dyDescent="0.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10"/>
      <c r="DG8" s="10"/>
      <c r="DH8" s="10"/>
      <c r="DI8" s="10"/>
      <c r="DJ8" s="10"/>
      <c r="DK8" s="11"/>
      <c r="DL8" s="11"/>
      <c r="DM8" s="11"/>
      <c r="DN8" s="11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</row>
    <row r="9" spans="1:706" ht="4.5" customHeight="1" x14ac:dyDescent="0.15">
      <c r="A9" s="4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</row>
    <row r="10" spans="1:706" ht="15" customHeight="1" x14ac:dyDescent="0.15">
      <c r="A10" s="4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</row>
    <row r="11" spans="1:706" ht="37.5" customHeight="1" x14ac:dyDescent="0.15">
      <c r="A11" s="4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</row>
    <row r="12" spans="1:706" ht="15" customHeight="1" x14ac:dyDescent="0.15">
      <c r="A12" s="14"/>
      <c r="B12" s="15"/>
      <c r="C12" s="16"/>
      <c r="D12" s="16"/>
      <c r="E12" s="16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8"/>
      <c r="DK12" s="16"/>
      <c r="DL12" s="16"/>
      <c r="DM12" s="16"/>
      <c r="DN12" s="13"/>
      <c r="DO12" s="19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  <c r="IX12" s="20"/>
      <c r="IY12" s="20"/>
      <c r="IZ12" s="20"/>
      <c r="JA12" s="20"/>
      <c r="JB12" s="20"/>
      <c r="JC12" s="20"/>
      <c r="JD12" s="20"/>
      <c r="JE12" s="20"/>
      <c r="JF12" s="20"/>
      <c r="JG12" s="20"/>
      <c r="JH12" s="20"/>
      <c r="JI12" s="20"/>
      <c r="JJ12" s="20"/>
      <c r="JK12" s="20"/>
      <c r="JL12" s="20"/>
      <c r="JM12" s="20"/>
      <c r="JN12" s="20"/>
      <c r="JO12" s="20"/>
      <c r="JP12" s="20"/>
      <c r="JQ12" s="20"/>
      <c r="JR12" s="20"/>
      <c r="JS12" s="20"/>
      <c r="JT12" s="20"/>
      <c r="JU12" s="20"/>
      <c r="JV12" s="20"/>
      <c r="JW12" s="20"/>
      <c r="JX12" s="20"/>
      <c r="JY12" s="20"/>
      <c r="JZ12" s="20"/>
      <c r="KA12" s="20"/>
      <c r="KB12" s="20"/>
      <c r="KC12" s="20"/>
      <c r="KD12" s="20"/>
      <c r="KE12" s="20"/>
      <c r="KF12" s="20"/>
      <c r="KG12" s="20"/>
      <c r="KH12" s="20"/>
      <c r="KI12" s="20"/>
      <c r="KJ12" s="20"/>
      <c r="KK12" s="20"/>
      <c r="KL12" s="20"/>
      <c r="KM12" s="20"/>
      <c r="KN12" s="20"/>
      <c r="KO12" s="20"/>
      <c r="KP12" s="20"/>
      <c r="KQ12" s="20"/>
      <c r="KR12" s="20"/>
      <c r="KS12" s="20"/>
      <c r="KT12" s="20"/>
      <c r="KU12" s="20"/>
      <c r="KV12" s="20"/>
      <c r="KW12" s="20"/>
      <c r="KX12" s="20"/>
      <c r="KY12" s="20"/>
      <c r="KZ12" s="20"/>
      <c r="LA12" s="20"/>
      <c r="LB12" s="20"/>
      <c r="LC12" s="20"/>
      <c r="LD12" s="20"/>
      <c r="LE12" s="20"/>
      <c r="LF12" s="20"/>
      <c r="LG12" s="20"/>
      <c r="LH12" s="20"/>
      <c r="LI12" s="20"/>
      <c r="LJ12" s="20"/>
      <c r="LK12" s="20"/>
      <c r="LL12" s="20"/>
      <c r="LM12" s="20"/>
      <c r="LN12" s="20"/>
      <c r="LO12" s="20"/>
      <c r="LP12" s="20"/>
      <c r="LQ12" s="20"/>
      <c r="LR12" s="20"/>
      <c r="LS12" s="20"/>
      <c r="LT12" s="20"/>
      <c r="LU12" s="20"/>
      <c r="LV12" s="20"/>
      <c r="LW12" s="20"/>
      <c r="LX12" s="20"/>
      <c r="LY12" s="20"/>
      <c r="LZ12" s="20"/>
      <c r="MA12" s="20"/>
      <c r="MB12" s="20"/>
      <c r="MC12" s="20"/>
      <c r="MD12" s="20"/>
      <c r="ME12" s="20"/>
      <c r="MF12" s="20"/>
      <c r="MG12" s="20"/>
      <c r="MH12" s="20"/>
      <c r="MI12" s="20"/>
      <c r="MJ12" s="20"/>
      <c r="MK12" s="20"/>
      <c r="ML12" s="20"/>
      <c r="MM12" s="20"/>
      <c r="MN12" s="20"/>
      <c r="MO12" s="20"/>
      <c r="MP12" s="20"/>
      <c r="MQ12" s="20"/>
      <c r="MR12" s="20"/>
      <c r="MS12" s="20"/>
      <c r="MT12" s="20"/>
      <c r="MU12" s="20"/>
      <c r="MV12" s="20"/>
      <c r="MW12" s="20"/>
      <c r="MX12" s="20"/>
      <c r="MY12" s="20"/>
      <c r="MZ12" s="20"/>
      <c r="NA12" s="20"/>
      <c r="NB12" s="20"/>
      <c r="NC12" s="20"/>
      <c r="ND12" s="20"/>
      <c r="NE12" s="20"/>
      <c r="NF12" s="20"/>
      <c r="NG12" s="20"/>
      <c r="NH12" s="20"/>
      <c r="NI12" s="20"/>
      <c r="NJ12" s="20"/>
      <c r="NK12" s="20"/>
      <c r="NL12" s="20"/>
      <c r="NM12" s="20"/>
      <c r="NN12" s="20"/>
      <c r="NO12" s="20"/>
      <c r="NP12" s="20"/>
      <c r="NQ12" s="20"/>
      <c r="NR12" s="20"/>
      <c r="NS12" s="20"/>
      <c r="NT12" s="20"/>
      <c r="NU12" s="20"/>
      <c r="NV12" s="20"/>
      <c r="NW12" s="20"/>
      <c r="NX12" s="20"/>
      <c r="NY12" s="20"/>
      <c r="NZ12" s="20"/>
      <c r="OA12" s="20"/>
      <c r="OB12" s="20"/>
      <c r="OC12" s="20"/>
      <c r="OD12" s="20"/>
      <c r="OE12" s="20"/>
      <c r="OF12" s="20"/>
      <c r="OG12" s="20"/>
      <c r="OH12" s="20"/>
      <c r="OI12" s="20"/>
      <c r="OJ12" s="20"/>
      <c r="OK12" s="20"/>
      <c r="OL12" s="20"/>
      <c r="OM12" s="20"/>
      <c r="ON12" s="20"/>
      <c r="OO12" s="20"/>
      <c r="OP12" s="20"/>
      <c r="OQ12" s="20"/>
      <c r="OR12" s="20"/>
      <c r="OS12" s="20"/>
      <c r="OT12" s="20"/>
      <c r="OU12" s="20"/>
      <c r="OV12" s="20"/>
      <c r="OW12" s="20"/>
      <c r="OX12" s="20"/>
      <c r="OY12" s="20"/>
      <c r="OZ12" s="20"/>
      <c r="PA12" s="20"/>
      <c r="PB12" s="20"/>
      <c r="PC12" s="20"/>
      <c r="PD12" s="20"/>
      <c r="PE12" s="20"/>
      <c r="PF12" s="20"/>
      <c r="PG12" s="20"/>
      <c r="PH12" s="20"/>
      <c r="PI12" s="20"/>
      <c r="PJ12" s="20"/>
      <c r="PK12" s="20"/>
      <c r="PL12" s="20"/>
      <c r="PM12" s="20"/>
      <c r="PN12" s="20"/>
      <c r="PO12" s="20"/>
      <c r="PP12" s="20"/>
      <c r="PQ12" s="20"/>
      <c r="PR12" s="20"/>
      <c r="PS12" s="20"/>
      <c r="PT12" s="20"/>
      <c r="PU12" s="20"/>
      <c r="PV12" s="20"/>
      <c r="PW12" s="20"/>
      <c r="PX12" s="20"/>
      <c r="PY12" s="20"/>
      <c r="PZ12" s="20"/>
      <c r="QA12" s="20"/>
      <c r="QB12" s="20"/>
      <c r="QC12" s="20"/>
      <c r="QD12" s="20"/>
      <c r="QE12" s="20"/>
      <c r="QF12" s="20"/>
      <c r="QG12" s="20"/>
      <c r="QH12" s="20"/>
      <c r="QI12" s="20"/>
      <c r="QJ12" s="20"/>
      <c r="QK12" s="20"/>
      <c r="QL12" s="20"/>
      <c r="QM12" s="20"/>
      <c r="QN12" s="20"/>
      <c r="QO12" s="20"/>
      <c r="QP12" s="20"/>
      <c r="QQ12" s="20"/>
      <c r="QR12" s="20"/>
      <c r="QS12" s="20"/>
      <c r="QT12" s="20"/>
      <c r="QU12" s="20"/>
      <c r="QV12" s="20"/>
      <c r="QW12" s="20"/>
      <c r="QX12" s="20"/>
      <c r="QY12" s="20"/>
      <c r="QZ12" s="20"/>
      <c r="RA12" s="20"/>
      <c r="RB12" s="20"/>
      <c r="RC12" s="20"/>
      <c r="RD12" s="20"/>
      <c r="RE12" s="20"/>
      <c r="RF12" s="20"/>
      <c r="RG12" s="20"/>
      <c r="RH12" s="20"/>
      <c r="RI12" s="20"/>
      <c r="RJ12" s="20"/>
      <c r="RK12" s="20"/>
      <c r="RL12" s="20"/>
      <c r="RM12" s="20"/>
      <c r="RN12" s="20"/>
      <c r="RO12" s="20"/>
      <c r="RP12" s="20"/>
      <c r="RQ12" s="20"/>
      <c r="RR12" s="20"/>
      <c r="RS12" s="20"/>
      <c r="RT12" s="20"/>
      <c r="RU12" s="20"/>
      <c r="RV12" s="20"/>
      <c r="RW12" s="20"/>
      <c r="RX12" s="20"/>
      <c r="RY12" s="20"/>
      <c r="RZ12" s="20"/>
      <c r="SA12" s="20"/>
      <c r="SB12" s="20"/>
      <c r="SC12" s="20"/>
      <c r="SD12" s="20"/>
      <c r="SE12" s="20"/>
      <c r="SF12" s="20"/>
      <c r="SG12" s="20"/>
      <c r="SH12" s="20"/>
      <c r="SI12" s="20"/>
      <c r="SJ12" s="20"/>
      <c r="SK12" s="20"/>
      <c r="SL12" s="20"/>
      <c r="SM12" s="20"/>
      <c r="SN12" s="20"/>
      <c r="SO12" s="20"/>
      <c r="SP12" s="20"/>
      <c r="SQ12" s="20"/>
      <c r="SR12" s="20"/>
      <c r="SS12" s="20"/>
      <c r="ST12" s="20"/>
      <c r="SU12" s="20"/>
      <c r="SV12" s="20"/>
      <c r="SW12" s="20"/>
      <c r="SX12" s="20"/>
      <c r="SY12" s="20"/>
      <c r="SZ12" s="20"/>
      <c r="TA12" s="20"/>
      <c r="TB12" s="20"/>
      <c r="TC12" s="20"/>
      <c r="TD12" s="20"/>
      <c r="TE12" s="20"/>
      <c r="TF12" s="20"/>
      <c r="TG12" s="20"/>
      <c r="TH12" s="20"/>
      <c r="TI12" s="20"/>
      <c r="TJ12" s="20"/>
      <c r="TK12" s="20"/>
      <c r="TL12" s="20"/>
      <c r="TM12" s="20"/>
      <c r="TN12" s="20"/>
      <c r="TO12" s="20"/>
      <c r="TP12" s="20"/>
      <c r="TQ12" s="20"/>
      <c r="TR12" s="20"/>
      <c r="TS12" s="20"/>
      <c r="TT12" s="20"/>
      <c r="TU12" s="20"/>
      <c r="TV12" s="20"/>
      <c r="TW12" s="20"/>
      <c r="TX12" s="20"/>
      <c r="TY12" s="20"/>
      <c r="TZ12" s="20"/>
      <c r="UA12" s="20"/>
      <c r="UB12" s="20"/>
      <c r="UC12" s="20"/>
      <c r="UD12" s="20"/>
      <c r="UE12" s="20"/>
      <c r="UF12" s="20"/>
      <c r="UG12" s="20"/>
      <c r="UH12" s="20"/>
      <c r="UI12" s="20"/>
      <c r="UJ12" s="20"/>
      <c r="UK12" s="20"/>
      <c r="UL12" s="20"/>
      <c r="UM12" s="20"/>
      <c r="UN12" s="20"/>
      <c r="UO12" s="20"/>
      <c r="UP12" s="20"/>
      <c r="UQ12" s="20"/>
      <c r="UR12" s="20"/>
      <c r="US12" s="20"/>
      <c r="UT12" s="20"/>
      <c r="UU12" s="20"/>
      <c r="UV12" s="20"/>
      <c r="UW12" s="20"/>
      <c r="UX12" s="20"/>
      <c r="UY12" s="20"/>
      <c r="UZ12" s="20"/>
      <c r="VA12" s="20"/>
      <c r="VB12" s="20"/>
      <c r="VC12" s="20"/>
      <c r="VD12" s="20"/>
      <c r="VE12" s="20"/>
      <c r="VF12" s="20"/>
      <c r="VG12" s="20"/>
      <c r="VH12" s="20"/>
      <c r="VI12" s="20"/>
      <c r="VJ12" s="20"/>
      <c r="VK12" s="20"/>
      <c r="VL12" s="20"/>
      <c r="VM12" s="20"/>
      <c r="VN12" s="20"/>
      <c r="VO12" s="20"/>
      <c r="VP12" s="20"/>
      <c r="VQ12" s="20"/>
      <c r="VR12" s="20"/>
      <c r="VS12" s="20"/>
      <c r="VT12" s="20"/>
      <c r="VU12" s="20"/>
      <c r="VV12" s="20"/>
      <c r="VW12" s="20"/>
      <c r="VX12" s="20"/>
      <c r="VY12" s="20"/>
      <c r="VZ12" s="20"/>
      <c r="WA12" s="20"/>
      <c r="WB12" s="20"/>
      <c r="WC12" s="20"/>
      <c r="WD12" s="20"/>
      <c r="WE12" s="20"/>
      <c r="WF12" s="20"/>
      <c r="WG12" s="20"/>
      <c r="WH12" s="20"/>
      <c r="WI12" s="20"/>
      <c r="WJ12" s="20"/>
      <c r="WK12" s="20"/>
      <c r="WL12" s="20"/>
      <c r="WM12" s="20"/>
      <c r="WN12" s="20"/>
      <c r="WO12" s="20"/>
      <c r="WP12" s="20"/>
      <c r="WQ12" s="20"/>
      <c r="WR12" s="20"/>
      <c r="WS12" s="20"/>
      <c r="WT12" s="20"/>
      <c r="WU12" s="20"/>
      <c r="WV12" s="20"/>
      <c r="WW12" s="20"/>
      <c r="WX12" s="20"/>
      <c r="WY12" s="20"/>
      <c r="WZ12" s="20"/>
      <c r="XA12" s="20"/>
      <c r="XB12" s="20"/>
      <c r="XC12" s="20"/>
      <c r="XD12" s="20"/>
      <c r="XE12" s="20"/>
      <c r="XF12" s="20"/>
      <c r="XG12" s="20"/>
      <c r="XH12" s="20"/>
      <c r="XI12" s="20"/>
      <c r="XJ12" s="20"/>
      <c r="XK12" s="20"/>
      <c r="XL12" s="20"/>
      <c r="XM12" s="20"/>
      <c r="XN12" s="20"/>
      <c r="XO12" s="20"/>
      <c r="XP12" s="20"/>
      <c r="XQ12" s="20"/>
      <c r="XR12" s="20"/>
      <c r="XS12" s="20"/>
      <c r="XT12" s="20"/>
      <c r="XU12" s="20"/>
      <c r="XV12" s="20"/>
      <c r="XW12" s="20"/>
      <c r="XX12" s="20"/>
      <c r="XY12" s="20"/>
      <c r="XZ12" s="20"/>
      <c r="YA12" s="20"/>
      <c r="YB12" s="20"/>
      <c r="YC12" s="20"/>
      <c r="YD12" s="20"/>
      <c r="YE12" s="20"/>
      <c r="YF12" s="20"/>
      <c r="YG12" s="20"/>
      <c r="YH12" s="20"/>
      <c r="YI12" s="20"/>
      <c r="YJ12" s="20"/>
      <c r="YK12" s="20"/>
      <c r="YL12" s="20"/>
      <c r="YM12" s="20"/>
      <c r="YN12" s="20"/>
      <c r="YO12" s="20"/>
      <c r="YP12" s="20"/>
      <c r="YQ12" s="20"/>
      <c r="YR12" s="20"/>
      <c r="YS12" s="20"/>
      <c r="YT12" s="20"/>
      <c r="YU12" s="20"/>
      <c r="YV12" s="20"/>
      <c r="YW12" s="20"/>
      <c r="YX12" s="20"/>
      <c r="YY12" s="20"/>
      <c r="YZ12" s="20"/>
      <c r="ZA12" s="20"/>
      <c r="ZB12" s="20"/>
      <c r="ZC12" s="20"/>
      <c r="ZD12" s="20"/>
      <c r="ZE12" s="20"/>
      <c r="ZF12" s="20"/>
      <c r="ZG12" s="20"/>
      <c r="ZH12" s="20"/>
      <c r="ZI12" s="20"/>
      <c r="ZJ12" s="20"/>
      <c r="ZK12" s="20"/>
      <c r="ZL12" s="20"/>
      <c r="ZM12" s="20"/>
      <c r="ZN12" s="20"/>
      <c r="ZO12" s="20"/>
      <c r="ZP12" s="20"/>
      <c r="ZQ12" s="20"/>
      <c r="ZR12" s="20"/>
      <c r="ZS12" s="20"/>
      <c r="ZT12" s="20"/>
      <c r="ZU12" s="20"/>
      <c r="ZV12" s="20"/>
      <c r="ZW12" s="20"/>
      <c r="ZX12" s="20"/>
      <c r="ZY12" s="20"/>
      <c r="ZZ12" s="20"/>
      <c r="AAA12" s="20"/>
      <c r="AAB12" s="20"/>
      <c r="AAC12" s="20"/>
      <c r="AAD12" s="20"/>
    </row>
    <row r="13" spans="1:706" ht="4.5" customHeight="1" x14ac:dyDescent="0.15">
      <c r="A13" s="13"/>
      <c r="B13" s="21"/>
      <c r="C13" s="22"/>
      <c r="D13" s="22"/>
      <c r="E13" s="22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2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2"/>
      <c r="DL13" s="22"/>
      <c r="DM13" s="22"/>
      <c r="DN13" s="13"/>
      <c r="DO13" s="24"/>
    </row>
    <row r="14" spans="1:706" ht="30" customHeight="1" x14ac:dyDescent="0.15">
      <c r="A14" s="13"/>
      <c r="B14" s="21"/>
      <c r="C14" s="22"/>
      <c r="D14" s="22"/>
      <c r="E14" s="22"/>
      <c r="F14" s="108" t="s">
        <v>3</v>
      </c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7"/>
      <c r="V14" s="144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3"/>
      <c r="BN14" s="103"/>
      <c r="BO14" s="104"/>
      <c r="BP14" s="23"/>
      <c r="BQ14" s="22"/>
      <c r="BR14" s="108" t="s">
        <v>4</v>
      </c>
      <c r="BS14" s="106"/>
      <c r="BT14" s="106"/>
      <c r="BU14" s="106"/>
      <c r="BV14" s="106"/>
      <c r="BW14" s="106"/>
      <c r="BX14" s="106"/>
      <c r="BY14" s="106"/>
      <c r="BZ14" s="106"/>
      <c r="CA14" s="106"/>
      <c r="CB14" s="106"/>
      <c r="CC14" s="106"/>
      <c r="CD14" s="106"/>
      <c r="CE14" s="106"/>
      <c r="CF14" s="106"/>
      <c r="CG14" s="107"/>
      <c r="CH14" s="144"/>
      <c r="CI14" s="103"/>
      <c r="CJ14" s="103"/>
      <c r="CK14" s="103"/>
      <c r="CL14" s="103"/>
      <c r="CM14" s="103"/>
      <c r="CN14" s="103"/>
      <c r="CO14" s="103"/>
      <c r="CP14" s="103"/>
      <c r="CQ14" s="103"/>
      <c r="CR14" s="103"/>
      <c r="CS14" s="103"/>
      <c r="CT14" s="103"/>
      <c r="CU14" s="103"/>
      <c r="CV14" s="103"/>
      <c r="CW14" s="103"/>
      <c r="CX14" s="103"/>
      <c r="CY14" s="103"/>
      <c r="CZ14" s="103"/>
      <c r="DA14" s="103"/>
      <c r="DB14" s="103"/>
      <c r="DC14" s="103"/>
      <c r="DD14" s="103"/>
      <c r="DE14" s="103"/>
      <c r="DF14" s="103"/>
      <c r="DG14" s="103"/>
      <c r="DH14" s="103"/>
      <c r="DI14" s="104"/>
      <c r="DJ14" s="23"/>
      <c r="DK14" s="22"/>
      <c r="DL14" s="22"/>
      <c r="DM14" s="22"/>
      <c r="DN14" s="13"/>
      <c r="DO14" s="24"/>
    </row>
    <row r="15" spans="1:706" ht="4.5" customHeight="1" x14ac:dyDescent="0.15">
      <c r="A15" s="13"/>
      <c r="B15" s="21"/>
      <c r="C15" s="22"/>
      <c r="D15" s="22"/>
      <c r="E15" s="22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2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2"/>
      <c r="DL15" s="22"/>
      <c r="DM15" s="22"/>
      <c r="DN15" s="13"/>
      <c r="DO15" s="24"/>
    </row>
    <row r="16" spans="1:706" ht="4.5" customHeight="1" x14ac:dyDescent="0.15">
      <c r="A16" s="13"/>
      <c r="B16" s="21"/>
      <c r="C16" s="22"/>
      <c r="D16" s="22"/>
      <c r="E16" s="22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13"/>
      <c r="DO16" s="24"/>
    </row>
    <row r="17" spans="1:706" ht="4.5" customHeight="1" x14ac:dyDescent="0.15">
      <c r="A17" s="13"/>
      <c r="B17" s="21"/>
      <c r="C17" s="22"/>
      <c r="D17" s="22"/>
      <c r="E17" s="22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2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2"/>
      <c r="DL17" s="22"/>
      <c r="DM17" s="22"/>
      <c r="DN17" s="13"/>
      <c r="DO17" s="24"/>
    </row>
    <row r="18" spans="1:706" ht="30" customHeight="1" x14ac:dyDescent="0.15">
      <c r="A18" s="13"/>
      <c r="B18" s="21"/>
      <c r="C18" s="22"/>
      <c r="D18" s="22"/>
      <c r="E18" s="22"/>
      <c r="F18" s="108" t="s">
        <v>5</v>
      </c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7"/>
      <c r="V18" s="144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3"/>
      <c r="BN18" s="103"/>
      <c r="BO18" s="104"/>
      <c r="BP18" s="23"/>
      <c r="BQ18" s="22"/>
      <c r="BR18" s="108" t="s">
        <v>6</v>
      </c>
      <c r="BS18" s="106"/>
      <c r="BT18" s="106"/>
      <c r="BU18" s="106"/>
      <c r="BV18" s="106"/>
      <c r="BW18" s="106"/>
      <c r="BX18" s="106"/>
      <c r="BY18" s="106"/>
      <c r="BZ18" s="106"/>
      <c r="CA18" s="106"/>
      <c r="CB18" s="106"/>
      <c r="CC18" s="106"/>
      <c r="CD18" s="106"/>
      <c r="CE18" s="106"/>
      <c r="CF18" s="106"/>
      <c r="CG18" s="107"/>
      <c r="CH18" s="144"/>
      <c r="CI18" s="103"/>
      <c r="CJ18" s="103"/>
      <c r="CK18" s="103"/>
      <c r="CL18" s="103"/>
      <c r="CM18" s="103"/>
      <c r="CN18" s="103"/>
      <c r="CO18" s="103"/>
      <c r="CP18" s="103"/>
      <c r="CQ18" s="103"/>
      <c r="CR18" s="103"/>
      <c r="CS18" s="103"/>
      <c r="CT18" s="103"/>
      <c r="CU18" s="103"/>
      <c r="CV18" s="103"/>
      <c r="CW18" s="103"/>
      <c r="CX18" s="103"/>
      <c r="CY18" s="103"/>
      <c r="CZ18" s="103"/>
      <c r="DA18" s="103"/>
      <c r="DB18" s="103"/>
      <c r="DC18" s="103"/>
      <c r="DD18" s="103"/>
      <c r="DE18" s="103"/>
      <c r="DF18" s="103"/>
      <c r="DG18" s="103"/>
      <c r="DH18" s="103"/>
      <c r="DI18" s="104"/>
      <c r="DJ18" s="23"/>
      <c r="DK18" s="22"/>
      <c r="DL18" s="22"/>
      <c r="DM18" s="22"/>
      <c r="DN18" s="13"/>
      <c r="DO18" s="24"/>
    </row>
    <row r="19" spans="1:706" ht="4.5" customHeight="1" x14ac:dyDescent="0.15">
      <c r="A19" s="13"/>
      <c r="B19" s="21"/>
      <c r="C19" s="22"/>
      <c r="D19" s="22"/>
      <c r="E19" s="22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2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2"/>
      <c r="DL19" s="22"/>
      <c r="DM19" s="22"/>
      <c r="DN19" s="13"/>
      <c r="DO19" s="24"/>
    </row>
    <row r="20" spans="1:706" ht="4.5" customHeight="1" x14ac:dyDescent="0.15">
      <c r="A20" s="13"/>
      <c r="B20" s="21"/>
      <c r="C20" s="22"/>
      <c r="D20" s="22"/>
      <c r="E20" s="22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13"/>
      <c r="DO20" s="24"/>
    </row>
    <row r="21" spans="1:706" ht="4.5" customHeight="1" x14ac:dyDescent="0.15">
      <c r="A21" s="13"/>
      <c r="B21" s="21"/>
      <c r="C21" s="22"/>
      <c r="D21" s="22"/>
      <c r="E21" s="22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2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2"/>
      <c r="DL21" s="22"/>
      <c r="DM21" s="22"/>
      <c r="DN21" s="13"/>
      <c r="DO21" s="24"/>
    </row>
    <row r="22" spans="1:706" ht="30" customHeight="1" x14ac:dyDescent="0.15">
      <c r="A22" s="13"/>
      <c r="B22" s="21"/>
      <c r="C22" s="22"/>
      <c r="D22" s="22"/>
      <c r="E22" s="22"/>
      <c r="F22" s="108" t="s">
        <v>7</v>
      </c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7"/>
      <c r="V22" s="144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3"/>
      <c r="BN22" s="103"/>
      <c r="BO22" s="104"/>
      <c r="BP22" s="23"/>
      <c r="BQ22" s="22"/>
      <c r="BR22" s="108" t="s">
        <v>8</v>
      </c>
      <c r="BS22" s="106"/>
      <c r="BT22" s="106"/>
      <c r="BU22" s="106"/>
      <c r="BV22" s="106"/>
      <c r="BW22" s="106"/>
      <c r="BX22" s="106"/>
      <c r="BY22" s="106"/>
      <c r="BZ22" s="106"/>
      <c r="CA22" s="106"/>
      <c r="CB22" s="106"/>
      <c r="CC22" s="106"/>
      <c r="CD22" s="106"/>
      <c r="CE22" s="106"/>
      <c r="CF22" s="106"/>
      <c r="CG22" s="139"/>
      <c r="CH22" s="144"/>
      <c r="CI22" s="103"/>
      <c r="CJ22" s="103"/>
      <c r="CK22" s="103"/>
      <c r="CL22" s="103"/>
      <c r="CM22" s="103"/>
      <c r="CN22" s="103"/>
      <c r="CO22" s="103"/>
      <c r="CP22" s="103"/>
      <c r="CQ22" s="103"/>
      <c r="CR22" s="103"/>
      <c r="CS22" s="103"/>
      <c r="CT22" s="103"/>
      <c r="CU22" s="103"/>
      <c r="CV22" s="103"/>
      <c r="CW22" s="103"/>
      <c r="CX22" s="103"/>
      <c r="CY22" s="103"/>
      <c r="CZ22" s="103"/>
      <c r="DA22" s="103"/>
      <c r="DB22" s="103"/>
      <c r="DC22" s="103"/>
      <c r="DD22" s="103"/>
      <c r="DE22" s="103"/>
      <c r="DF22" s="103"/>
      <c r="DG22" s="103"/>
      <c r="DH22" s="103"/>
      <c r="DI22" s="104"/>
      <c r="DJ22" s="23"/>
      <c r="DK22" s="22"/>
      <c r="DL22" s="22"/>
      <c r="DM22" s="22"/>
      <c r="DN22" s="13"/>
      <c r="DO22" s="24"/>
    </row>
    <row r="23" spans="1:706" ht="4.5" customHeight="1" x14ac:dyDescent="0.15">
      <c r="A23" s="13"/>
      <c r="B23" s="21"/>
      <c r="C23" s="22"/>
      <c r="D23" s="22"/>
      <c r="E23" s="22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2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2"/>
      <c r="DL23" s="22"/>
      <c r="DM23" s="22"/>
      <c r="DN23" s="13"/>
      <c r="DO23" s="24"/>
    </row>
    <row r="24" spans="1:706" ht="15" customHeight="1" x14ac:dyDescent="0.15">
      <c r="A24" s="13"/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13"/>
      <c r="DO24" s="24"/>
    </row>
    <row r="25" spans="1:706" ht="4.5" customHeight="1" x14ac:dyDescent="0.1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24"/>
    </row>
    <row r="26" spans="1:706" ht="15" customHeight="1" x14ac:dyDescent="0.1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24"/>
    </row>
    <row r="27" spans="1:706" ht="37.5" customHeight="1" x14ac:dyDescent="0.15">
      <c r="A27" s="4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</row>
    <row r="28" spans="1:706" ht="15" customHeight="1" x14ac:dyDescent="0.15">
      <c r="A28" s="13"/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13"/>
      <c r="DO28" s="24"/>
    </row>
    <row r="29" spans="1:706" ht="4.5" customHeight="1" x14ac:dyDescent="0.15">
      <c r="A29" s="13"/>
      <c r="B29" s="21"/>
      <c r="C29" s="22"/>
      <c r="D29" s="22"/>
      <c r="E29" s="22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2"/>
      <c r="DL29" s="22"/>
      <c r="DM29" s="22"/>
      <c r="DN29" s="13"/>
      <c r="DO29" s="24"/>
    </row>
    <row r="30" spans="1:706" ht="15" customHeight="1" x14ac:dyDescent="0.15">
      <c r="A30" s="13"/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13"/>
      <c r="DO30" s="24"/>
    </row>
    <row r="31" spans="1:706" ht="4.5" customHeight="1" x14ac:dyDescent="0.15">
      <c r="A31" s="13"/>
      <c r="B31" s="21"/>
      <c r="C31" s="22"/>
      <c r="D31" s="22"/>
      <c r="E31" s="22"/>
      <c r="F31" s="30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  <c r="CY31" s="31"/>
      <c r="CZ31" s="31"/>
      <c r="DA31" s="31"/>
      <c r="DB31" s="31"/>
      <c r="DC31" s="31"/>
      <c r="DD31" s="31"/>
      <c r="DE31" s="31"/>
      <c r="DF31" s="31"/>
      <c r="DG31" s="31"/>
      <c r="DH31" s="31"/>
      <c r="DI31" s="31"/>
      <c r="DJ31" s="32"/>
      <c r="DK31" s="22"/>
      <c r="DL31" s="22"/>
      <c r="DM31" s="22"/>
      <c r="DN31" s="13"/>
      <c r="DO31" s="24"/>
    </row>
    <row r="32" spans="1:706" ht="4.5" customHeight="1" x14ac:dyDescent="0.15">
      <c r="A32" s="13"/>
      <c r="B32" s="21"/>
      <c r="C32" s="22"/>
      <c r="D32" s="22"/>
      <c r="E32" s="22"/>
      <c r="F32" s="33"/>
      <c r="G32" s="126" t="s">
        <v>9</v>
      </c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8"/>
      <c r="X32" s="22"/>
      <c r="Y32" s="34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6"/>
      <c r="DJ32" s="37"/>
      <c r="DK32" s="22"/>
      <c r="DL32" s="22"/>
      <c r="DM32" s="22"/>
      <c r="DN32" s="24"/>
    </row>
    <row r="33" spans="1:706" ht="12" customHeight="1" x14ac:dyDescent="0.15">
      <c r="A33" s="13"/>
      <c r="B33" s="21"/>
      <c r="C33" s="22"/>
      <c r="D33" s="22"/>
      <c r="E33" s="22"/>
      <c r="F33" s="33"/>
      <c r="G33" s="129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30"/>
      <c r="X33" s="22"/>
      <c r="Y33" s="38"/>
      <c r="Z33" s="39"/>
      <c r="AA33" s="39"/>
      <c r="AB33" s="39"/>
      <c r="AC33" s="39"/>
      <c r="AD33" s="40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41"/>
      <c r="DJ33" s="37"/>
      <c r="DK33" s="22"/>
      <c r="DL33" s="22"/>
      <c r="DM33" s="22"/>
      <c r="DN33" s="24"/>
      <c r="AAD33" s="42" t="b">
        <v>1</v>
      </c>
    </row>
    <row r="34" spans="1:706" ht="19.5" customHeight="1" x14ac:dyDescent="0.15">
      <c r="A34" s="13"/>
      <c r="B34" s="21"/>
      <c r="C34" s="22"/>
      <c r="D34" s="22"/>
      <c r="E34" s="22"/>
      <c r="F34" s="33"/>
      <c r="G34" s="129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30"/>
      <c r="X34" s="22"/>
      <c r="Y34" s="38"/>
      <c r="Z34" s="43"/>
      <c r="AA34" s="39"/>
      <c r="AB34" s="39"/>
      <c r="AC34" s="39"/>
      <c r="AD34" s="40"/>
      <c r="AE34" s="39"/>
      <c r="AF34" s="39"/>
      <c r="AG34" s="39"/>
      <c r="AH34" s="119" t="s">
        <v>10</v>
      </c>
      <c r="AI34" s="107"/>
      <c r="AJ34" s="134" t="str">
        <f>IF($CH$22="","",$CH$22)</f>
        <v/>
      </c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7"/>
      <c r="BH34" s="39" t="s">
        <v>11</v>
      </c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44"/>
      <c r="CC34" s="44"/>
      <c r="CD34" s="39"/>
      <c r="CE34" s="39"/>
      <c r="CF34" s="39"/>
      <c r="CG34" s="39"/>
      <c r="CH34" s="39"/>
      <c r="CI34" s="39"/>
      <c r="CJ34" s="39"/>
      <c r="CK34" s="39"/>
      <c r="CL34" s="119" t="s">
        <v>10</v>
      </c>
      <c r="CM34" s="107"/>
      <c r="CN34" s="120"/>
      <c r="CO34" s="106"/>
      <c r="CP34" s="106"/>
      <c r="CQ34" s="106"/>
      <c r="CR34" s="106"/>
      <c r="CS34" s="106"/>
      <c r="CT34" s="106"/>
      <c r="CU34" s="106"/>
      <c r="CV34" s="106"/>
      <c r="CW34" s="106"/>
      <c r="CX34" s="106"/>
      <c r="CY34" s="106"/>
      <c r="CZ34" s="106"/>
      <c r="DA34" s="106"/>
      <c r="DB34" s="106"/>
      <c r="DC34" s="106"/>
      <c r="DD34" s="106"/>
      <c r="DE34" s="106"/>
      <c r="DF34" s="107"/>
      <c r="DG34" s="121" t="s">
        <v>11</v>
      </c>
      <c r="DH34" s="107"/>
      <c r="DI34" s="41"/>
      <c r="DJ34" s="37"/>
      <c r="DK34" s="22"/>
      <c r="DL34" s="22"/>
      <c r="DM34" s="22"/>
      <c r="DN34" s="24"/>
    </row>
    <row r="35" spans="1:706" ht="12" customHeight="1" x14ac:dyDescent="0.15">
      <c r="A35" s="13"/>
      <c r="B35" s="21"/>
      <c r="C35" s="22"/>
      <c r="D35" s="22"/>
      <c r="E35" s="22"/>
      <c r="F35" s="33"/>
      <c r="G35" s="129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30"/>
      <c r="X35" s="22"/>
      <c r="Y35" s="38"/>
      <c r="Z35" s="43"/>
      <c r="AA35" s="39"/>
      <c r="AB35" s="39"/>
      <c r="AC35" s="39"/>
      <c r="AD35" s="40"/>
      <c r="AE35" s="39"/>
      <c r="AF35" s="39"/>
      <c r="AG35" s="39"/>
      <c r="AH35" s="43"/>
      <c r="AI35" s="43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39"/>
      <c r="CX35" s="43"/>
      <c r="CY35" s="39"/>
      <c r="CZ35" s="39"/>
      <c r="DA35" s="39"/>
      <c r="DB35" s="39"/>
      <c r="DC35" s="39"/>
      <c r="DD35" s="39"/>
      <c r="DE35" s="43"/>
      <c r="DF35" s="39"/>
      <c r="DG35" s="39"/>
      <c r="DH35" s="39"/>
      <c r="DI35" s="41"/>
      <c r="DJ35" s="37"/>
      <c r="DK35" s="22"/>
      <c r="DL35" s="22"/>
      <c r="DM35" s="22"/>
      <c r="DN35" s="24"/>
    </row>
    <row r="36" spans="1:706" ht="4.5" customHeight="1" x14ac:dyDescent="0.15">
      <c r="A36" s="13"/>
      <c r="B36" s="21"/>
      <c r="C36" s="22"/>
      <c r="D36" s="22"/>
      <c r="E36" s="22"/>
      <c r="F36" s="33"/>
      <c r="G36" s="129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30"/>
      <c r="X36" s="22"/>
      <c r="Y36" s="45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46"/>
      <c r="CD36" s="46"/>
      <c r="CE36" s="46"/>
      <c r="CF36" s="46"/>
      <c r="CG36" s="46"/>
      <c r="CH36" s="46"/>
      <c r="CI36" s="46"/>
      <c r="CJ36" s="46"/>
      <c r="CK36" s="46"/>
      <c r="CL36" s="46"/>
      <c r="CM36" s="46"/>
      <c r="CN36" s="46"/>
      <c r="CO36" s="46"/>
      <c r="CP36" s="46"/>
      <c r="CQ36" s="46"/>
      <c r="CR36" s="46"/>
      <c r="CS36" s="46"/>
      <c r="CT36" s="46"/>
      <c r="CU36" s="46"/>
      <c r="CV36" s="46"/>
      <c r="CW36" s="46"/>
      <c r="CX36" s="46"/>
      <c r="CY36" s="46"/>
      <c r="CZ36" s="46"/>
      <c r="DA36" s="46"/>
      <c r="DB36" s="46"/>
      <c r="DC36" s="46"/>
      <c r="DD36" s="46"/>
      <c r="DE36" s="46"/>
      <c r="DF36" s="46"/>
      <c r="DG36" s="46"/>
      <c r="DH36" s="46"/>
      <c r="DI36" s="47"/>
      <c r="DJ36" s="37"/>
      <c r="DK36" s="22"/>
      <c r="DL36" s="22"/>
      <c r="DM36" s="22"/>
      <c r="DN36" s="24"/>
    </row>
    <row r="37" spans="1:706" ht="4.5" customHeight="1" x14ac:dyDescent="0.15">
      <c r="A37" s="13"/>
      <c r="B37" s="21"/>
      <c r="C37" s="22"/>
      <c r="D37" s="22"/>
      <c r="E37" s="22"/>
      <c r="F37" s="33"/>
      <c r="G37" s="129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30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37"/>
      <c r="DK37" s="22"/>
      <c r="DL37" s="22"/>
      <c r="DM37" s="22"/>
      <c r="DN37" s="24"/>
    </row>
    <row r="38" spans="1:706" ht="30" customHeight="1" x14ac:dyDescent="0.15">
      <c r="A38" s="13"/>
      <c r="B38" s="21"/>
      <c r="C38" s="22"/>
      <c r="D38" s="22"/>
      <c r="E38" s="22"/>
      <c r="F38" s="33"/>
      <c r="G38" s="129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30"/>
      <c r="X38" s="22"/>
      <c r="Y38" s="122" t="s">
        <v>12</v>
      </c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  <c r="BC38" s="123"/>
      <c r="BD38" s="123"/>
      <c r="BE38" s="123"/>
      <c r="BF38" s="123"/>
      <c r="BG38" s="123"/>
      <c r="BH38" s="123"/>
      <c r="BI38" s="123"/>
      <c r="BJ38" s="123"/>
      <c r="BK38" s="123"/>
      <c r="BL38" s="123"/>
      <c r="BM38" s="123"/>
      <c r="BN38" s="123"/>
      <c r="BO38" s="123"/>
      <c r="BP38" s="123"/>
      <c r="BQ38" s="123"/>
      <c r="BR38" s="123"/>
      <c r="BS38" s="123"/>
      <c r="BT38" s="123"/>
      <c r="BU38" s="123"/>
      <c r="BV38" s="123"/>
      <c r="BW38" s="123"/>
      <c r="BX38" s="123"/>
      <c r="BY38" s="123"/>
      <c r="BZ38" s="123"/>
      <c r="CA38" s="123"/>
      <c r="CB38" s="123"/>
      <c r="CC38" s="123"/>
      <c r="CD38" s="123"/>
      <c r="CE38" s="123"/>
      <c r="CF38" s="123"/>
      <c r="CG38" s="123"/>
      <c r="CH38" s="123"/>
      <c r="CI38" s="123"/>
      <c r="CJ38" s="123"/>
      <c r="CK38" s="123"/>
      <c r="CL38" s="123"/>
      <c r="CM38" s="123"/>
      <c r="CN38" s="123"/>
      <c r="CO38" s="123"/>
      <c r="CP38" s="123"/>
      <c r="CQ38" s="123"/>
      <c r="CR38" s="123"/>
      <c r="CS38" s="123"/>
      <c r="CT38" s="123"/>
      <c r="CU38" s="123"/>
      <c r="CV38" s="123"/>
      <c r="CW38" s="123"/>
      <c r="CX38" s="123"/>
      <c r="CY38" s="123"/>
      <c r="CZ38" s="123"/>
      <c r="DA38" s="123"/>
      <c r="DB38" s="123"/>
      <c r="DC38" s="123"/>
      <c r="DD38" s="123"/>
      <c r="DE38" s="123"/>
      <c r="DF38" s="123"/>
      <c r="DG38" s="123"/>
      <c r="DH38" s="123"/>
      <c r="DI38" s="124"/>
      <c r="DJ38" s="37"/>
      <c r="DK38" s="22"/>
      <c r="DL38" s="22"/>
      <c r="DM38" s="22"/>
      <c r="DN38" s="24"/>
    </row>
    <row r="39" spans="1:706" ht="4.5" customHeight="1" x14ac:dyDescent="0.15">
      <c r="A39" s="13"/>
      <c r="B39" s="21"/>
      <c r="C39" s="22"/>
      <c r="D39" s="22"/>
      <c r="E39" s="22"/>
      <c r="F39" s="33"/>
      <c r="G39" s="129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30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37"/>
      <c r="DK39" s="22"/>
      <c r="DL39" s="22"/>
      <c r="DM39" s="22"/>
      <c r="DN39" s="24"/>
    </row>
    <row r="40" spans="1:706" ht="30" customHeight="1" x14ac:dyDescent="0.15">
      <c r="A40" s="13"/>
      <c r="B40" s="21"/>
      <c r="C40" s="22"/>
      <c r="D40" s="22"/>
      <c r="E40" s="22"/>
      <c r="F40" s="33"/>
      <c r="G40" s="129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30"/>
      <c r="X40" s="22"/>
      <c r="Y40" s="125" t="s">
        <v>13</v>
      </c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4"/>
      <c r="AP40" s="22"/>
      <c r="AQ40" s="125" t="s">
        <v>14</v>
      </c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  <c r="BC40" s="123"/>
      <c r="BD40" s="123"/>
      <c r="BE40" s="123"/>
      <c r="BF40" s="123"/>
      <c r="BG40" s="124"/>
      <c r="BH40" s="22"/>
      <c r="BI40" s="125" t="s">
        <v>15</v>
      </c>
      <c r="BJ40" s="123"/>
      <c r="BK40" s="123"/>
      <c r="BL40" s="123"/>
      <c r="BM40" s="123"/>
      <c r="BN40" s="123"/>
      <c r="BO40" s="123"/>
      <c r="BP40" s="123"/>
      <c r="BQ40" s="123"/>
      <c r="BR40" s="123"/>
      <c r="BS40" s="123"/>
      <c r="BT40" s="123"/>
      <c r="BU40" s="123"/>
      <c r="BV40" s="123"/>
      <c r="BW40" s="123"/>
      <c r="BX40" s="123"/>
      <c r="BY40" s="124"/>
      <c r="BZ40" s="22"/>
      <c r="CA40" s="125" t="s">
        <v>16</v>
      </c>
      <c r="CB40" s="123"/>
      <c r="CC40" s="123"/>
      <c r="CD40" s="123"/>
      <c r="CE40" s="123"/>
      <c r="CF40" s="123"/>
      <c r="CG40" s="123"/>
      <c r="CH40" s="123"/>
      <c r="CI40" s="123"/>
      <c r="CJ40" s="123"/>
      <c r="CK40" s="123"/>
      <c r="CL40" s="123"/>
      <c r="CM40" s="123"/>
      <c r="CN40" s="123"/>
      <c r="CO40" s="123"/>
      <c r="CP40" s="123"/>
      <c r="CQ40" s="124"/>
      <c r="CR40" s="22"/>
      <c r="CS40" s="125" t="s">
        <v>17</v>
      </c>
      <c r="CT40" s="123"/>
      <c r="CU40" s="123"/>
      <c r="CV40" s="123"/>
      <c r="CW40" s="123"/>
      <c r="CX40" s="123"/>
      <c r="CY40" s="123"/>
      <c r="CZ40" s="123"/>
      <c r="DA40" s="123"/>
      <c r="DB40" s="123"/>
      <c r="DC40" s="123"/>
      <c r="DD40" s="123"/>
      <c r="DE40" s="123"/>
      <c r="DF40" s="123"/>
      <c r="DG40" s="123"/>
      <c r="DH40" s="123"/>
      <c r="DI40" s="124"/>
      <c r="DJ40" s="37"/>
      <c r="DK40" s="22"/>
      <c r="DL40" s="22"/>
      <c r="DM40" s="22"/>
      <c r="DN40" s="24"/>
    </row>
    <row r="41" spans="1:706" ht="4.5" customHeight="1" x14ac:dyDescent="0.15">
      <c r="A41" s="13"/>
      <c r="B41" s="21"/>
      <c r="C41" s="22"/>
      <c r="D41" s="22"/>
      <c r="E41" s="22"/>
      <c r="F41" s="33"/>
      <c r="G41" s="129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37"/>
      <c r="DK41" s="22"/>
      <c r="DL41" s="22"/>
      <c r="DM41" s="22"/>
      <c r="DN41" s="24"/>
    </row>
    <row r="42" spans="1:706" ht="4.5" customHeight="1" x14ac:dyDescent="0.15">
      <c r="A42" s="13"/>
      <c r="B42" s="21"/>
      <c r="C42" s="22"/>
      <c r="D42" s="22"/>
      <c r="E42" s="22"/>
      <c r="F42" s="33"/>
      <c r="G42" s="129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30"/>
      <c r="X42" s="22"/>
      <c r="Y42" s="34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6"/>
      <c r="AP42" s="22"/>
      <c r="AQ42" s="34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6"/>
      <c r="BH42" s="22"/>
      <c r="BI42" s="34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6"/>
      <c r="BZ42" s="22"/>
      <c r="CA42" s="34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6"/>
      <c r="CR42" s="22"/>
      <c r="CS42" s="34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6"/>
      <c r="DJ42" s="37"/>
      <c r="DK42" s="22"/>
      <c r="DL42" s="22"/>
      <c r="DM42" s="22"/>
      <c r="DN42" s="24"/>
    </row>
    <row r="43" spans="1:706" ht="12" customHeight="1" x14ac:dyDescent="0.15">
      <c r="A43" s="13"/>
      <c r="B43" s="21"/>
      <c r="C43" s="22"/>
      <c r="D43" s="22"/>
      <c r="E43" s="22"/>
      <c r="F43" s="33"/>
      <c r="G43" s="129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30"/>
      <c r="X43" s="22"/>
      <c r="Y43" s="48"/>
      <c r="Z43" s="119" t="s">
        <v>18</v>
      </c>
      <c r="AA43" s="106"/>
      <c r="AB43" s="106"/>
      <c r="AC43" s="106"/>
      <c r="AD43" s="106"/>
      <c r="AE43" s="106"/>
      <c r="AF43" s="107"/>
      <c r="AG43" s="40" t="s">
        <v>19</v>
      </c>
      <c r="AH43" s="119" t="s">
        <v>20</v>
      </c>
      <c r="AI43" s="106"/>
      <c r="AJ43" s="106"/>
      <c r="AK43" s="106"/>
      <c r="AL43" s="106"/>
      <c r="AM43" s="106"/>
      <c r="AN43" s="107"/>
      <c r="AO43" s="41"/>
      <c r="AP43" s="22"/>
      <c r="AQ43" s="48"/>
      <c r="AR43" s="119" t="s">
        <v>18</v>
      </c>
      <c r="AS43" s="106"/>
      <c r="AT43" s="106"/>
      <c r="AU43" s="106"/>
      <c r="AV43" s="106"/>
      <c r="AW43" s="106"/>
      <c r="AX43" s="107"/>
      <c r="AY43" s="40" t="s">
        <v>19</v>
      </c>
      <c r="AZ43" s="119" t="s">
        <v>20</v>
      </c>
      <c r="BA43" s="106"/>
      <c r="BB43" s="106"/>
      <c r="BC43" s="106"/>
      <c r="BD43" s="106"/>
      <c r="BE43" s="106"/>
      <c r="BF43" s="107"/>
      <c r="BG43" s="41"/>
      <c r="BH43" s="22"/>
      <c r="BI43" s="48"/>
      <c r="BJ43" s="119" t="s">
        <v>18</v>
      </c>
      <c r="BK43" s="106"/>
      <c r="BL43" s="106"/>
      <c r="BM43" s="106"/>
      <c r="BN43" s="106"/>
      <c r="BO43" s="106"/>
      <c r="BP43" s="107"/>
      <c r="BQ43" s="40" t="s">
        <v>19</v>
      </c>
      <c r="BR43" s="119" t="s">
        <v>20</v>
      </c>
      <c r="BS43" s="106"/>
      <c r="BT43" s="106"/>
      <c r="BU43" s="106"/>
      <c r="BV43" s="106"/>
      <c r="BW43" s="106"/>
      <c r="BX43" s="107"/>
      <c r="BY43" s="41"/>
      <c r="BZ43" s="22"/>
      <c r="CA43" s="48"/>
      <c r="CB43" s="119" t="s">
        <v>18</v>
      </c>
      <c r="CC43" s="106"/>
      <c r="CD43" s="106"/>
      <c r="CE43" s="106"/>
      <c r="CF43" s="106"/>
      <c r="CG43" s="106"/>
      <c r="CH43" s="107"/>
      <c r="CI43" s="40" t="s">
        <v>19</v>
      </c>
      <c r="CJ43" s="119" t="s">
        <v>20</v>
      </c>
      <c r="CK43" s="106"/>
      <c r="CL43" s="106"/>
      <c r="CM43" s="106"/>
      <c r="CN43" s="106"/>
      <c r="CO43" s="106"/>
      <c r="CP43" s="107"/>
      <c r="CQ43" s="41"/>
      <c r="CR43" s="22"/>
      <c r="CS43" s="48"/>
      <c r="CT43" s="119" t="s">
        <v>18</v>
      </c>
      <c r="CU43" s="106"/>
      <c r="CV43" s="106"/>
      <c r="CW43" s="106"/>
      <c r="CX43" s="106"/>
      <c r="CY43" s="106"/>
      <c r="CZ43" s="107"/>
      <c r="DA43" s="40" t="s">
        <v>19</v>
      </c>
      <c r="DB43" s="119" t="s">
        <v>20</v>
      </c>
      <c r="DC43" s="106"/>
      <c r="DD43" s="106"/>
      <c r="DE43" s="106"/>
      <c r="DF43" s="106"/>
      <c r="DG43" s="106"/>
      <c r="DH43" s="107"/>
      <c r="DI43" s="41"/>
      <c r="DJ43" s="37"/>
      <c r="DK43" s="22"/>
      <c r="DL43" s="22"/>
      <c r="DM43" s="22"/>
      <c r="DN43" s="24"/>
    </row>
    <row r="44" spans="1:706" ht="12" customHeight="1" x14ac:dyDescent="0.15">
      <c r="A44" s="13"/>
      <c r="B44" s="21"/>
      <c r="C44" s="22"/>
      <c r="D44" s="22"/>
      <c r="E44" s="22"/>
      <c r="F44" s="33"/>
      <c r="G44" s="129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30"/>
      <c r="X44" s="22"/>
      <c r="Y44" s="48"/>
      <c r="Z44" s="119" t="s">
        <v>21</v>
      </c>
      <c r="AA44" s="106"/>
      <c r="AB44" s="107"/>
      <c r="AC44" s="49"/>
      <c r="AD44" s="119" t="s">
        <v>22</v>
      </c>
      <c r="AE44" s="106"/>
      <c r="AF44" s="107"/>
      <c r="AG44" s="40"/>
      <c r="AH44" s="119" t="s">
        <v>21</v>
      </c>
      <c r="AI44" s="106"/>
      <c r="AJ44" s="107"/>
      <c r="AK44" s="43" t="s">
        <v>23</v>
      </c>
      <c r="AL44" s="119" t="s">
        <v>22</v>
      </c>
      <c r="AM44" s="106"/>
      <c r="AN44" s="107"/>
      <c r="AO44" s="41"/>
      <c r="AP44" s="22"/>
      <c r="AQ44" s="48"/>
      <c r="AR44" s="119" t="s">
        <v>21</v>
      </c>
      <c r="AS44" s="106"/>
      <c r="AT44" s="107"/>
      <c r="AU44" s="43" t="s">
        <v>23</v>
      </c>
      <c r="AV44" s="119" t="s">
        <v>22</v>
      </c>
      <c r="AW44" s="106"/>
      <c r="AX44" s="107"/>
      <c r="AY44" s="40"/>
      <c r="AZ44" s="119" t="s">
        <v>21</v>
      </c>
      <c r="BA44" s="106"/>
      <c r="BB44" s="107"/>
      <c r="BC44" s="43" t="s">
        <v>23</v>
      </c>
      <c r="BD44" s="119" t="s">
        <v>22</v>
      </c>
      <c r="BE44" s="106"/>
      <c r="BF44" s="107"/>
      <c r="BG44" s="41"/>
      <c r="BH44" s="22"/>
      <c r="BI44" s="48"/>
      <c r="BJ44" s="119" t="s">
        <v>21</v>
      </c>
      <c r="BK44" s="106"/>
      <c r="BL44" s="107"/>
      <c r="BM44" s="49"/>
      <c r="BN44" s="119" t="s">
        <v>22</v>
      </c>
      <c r="BO44" s="106"/>
      <c r="BP44" s="107"/>
      <c r="BQ44" s="40"/>
      <c r="BR44" s="119" t="s">
        <v>21</v>
      </c>
      <c r="BS44" s="106"/>
      <c r="BT44" s="107"/>
      <c r="BU44" s="43" t="s">
        <v>23</v>
      </c>
      <c r="BV44" s="119" t="s">
        <v>22</v>
      </c>
      <c r="BW44" s="106"/>
      <c r="BX44" s="107"/>
      <c r="BY44" s="41"/>
      <c r="BZ44" s="22"/>
      <c r="CA44" s="48"/>
      <c r="CB44" s="119" t="s">
        <v>21</v>
      </c>
      <c r="CC44" s="106"/>
      <c r="CD44" s="107"/>
      <c r="CE44" s="43" t="s">
        <v>23</v>
      </c>
      <c r="CF44" s="119" t="s">
        <v>22</v>
      </c>
      <c r="CG44" s="106"/>
      <c r="CH44" s="107"/>
      <c r="CI44" s="40"/>
      <c r="CJ44" s="119" t="s">
        <v>21</v>
      </c>
      <c r="CK44" s="106"/>
      <c r="CL44" s="107"/>
      <c r="CM44" s="43" t="s">
        <v>23</v>
      </c>
      <c r="CN44" s="119" t="s">
        <v>22</v>
      </c>
      <c r="CO44" s="106"/>
      <c r="CP44" s="107"/>
      <c r="CQ44" s="41"/>
      <c r="CR44" s="22"/>
      <c r="CS44" s="48"/>
      <c r="CT44" s="119" t="s">
        <v>21</v>
      </c>
      <c r="CU44" s="106"/>
      <c r="CV44" s="107"/>
      <c r="CW44" s="49"/>
      <c r="CX44" s="119" t="s">
        <v>22</v>
      </c>
      <c r="CY44" s="106"/>
      <c r="CZ44" s="107"/>
      <c r="DA44" s="40"/>
      <c r="DB44" s="119" t="s">
        <v>21</v>
      </c>
      <c r="DC44" s="106"/>
      <c r="DD44" s="107"/>
      <c r="DE44" s="43" t="s">
        <v>23</v>
      </c>
      <c r="DF44" s="119" t="s">
        <v>22</v>
      </c>
      <c r="DG44" s="106"/>
      <c r="DH44" s="107"/>
      <c r="DI44" s="41"/>
      <c r="DJ44" s="37"/>
      <c r="DK44" s="22"/>
      <c r="DL44" s="22"/>
      <c r="DM44" s="22"/>
      <c r="DN44" s="24"/>
    </row>
    <row r="45" spans="1:706" ht="19.5" customHeight="1" x14ac:dyDescent="0.15">
      <c r="A45" s="13"/>
      <c r="B45" s="21"/>
      <c r="C45" s="22"/>
      <c r="D45" s="22"/>
      <c r="E45" s="22"/>
      <c r="F45" s="33"/>
      <c r="G45" s="129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30"/>
      <c r="X45" s="22"/>
      <c r="Y45" s="48"/>
      <c r="Z45" s="117"/>
      <c r="AA45" s="118"/>
      <c r="AB45" s="118"/>
      <c r="AC45" s="50" t="s">
        <v>23</v>
      </c>
      <c r="AD45" s="117"/>
      <c r="AE45" s="118"/>
      <c r="AF45" s="118"/>
      <c r="AG45" s="51"/>
      <c r="AH45" s="117"/>
      <c r="AI45" s="118"/>
      <c r="AJ45" s="118"/>
      <c r="AK45" s="50" t="s">
        <v>23</v>
      </c>
      <c r="AL45" s="117"/>
      <c r="AM45" s="118"/>
      <c r="AN45" s="118"/>
      <c r="AO45" s="41"/>
      <c r="AP45" s="22"/>
      <c r="AQ45" s="48"/>
      <c r="AR45" s="117"/>
      <c r="AS45" s="118"/>
      <c r="AT45" s="118"/>
      <c r="AU45" s="50" t="s">
        <v>23</v>
      </c>
      <c r="AV45" s="117"/>
      <c r="AW45" s="118"/>
      <c r="AX45" s="118"/>
      <c r="AY45" s="51"/>
      <c r="AZ45" s="117"/>
      <c r="BA45" s="118"/>
      <c r="BB45" s="118"/>
      <c r="BC45" s="50" t="s">
        <v>23</v>
      </c>
      <c r="BD45" s="117"/>
      <c r="BE45" s="118"/>
      <c r="BF45" s="118"/>
      <c r="BG45" s="41"/>
      <c r="BH45" s="22"/>
      <c r="BI45" s="48"/>
      <c r="BJ45" s="117"/>
      <c r="BK45" s="118"/>
      <c r="BL45" s="118"/>
      <c r="BM45" s="50" t="s">
        <v>23</v>
      </c>
      <c r="BN45" s="117"/>
      <c r="BO45" s="118"/>
      <c r="BP45" s="118"/>
      <c r="BQ45" s="51"/>
      <c r="BR45" s="117"/>
      <c r="BS45" s="118"/>
      <c r="BT45" s="118"/>
      <c r="BU45" s="50" t="s">
        <v>23</v>
      </c>
      <c r="BV45" s="117"/>
      <c r="BW45" s="118"/>
      <c r="BX45" s="118"/>
      <c r="BY45" s="41"/>
      <c r="BZ45" s="22"/>
      <c r="CA45" s="48"/>
      <c r="CB45" s="117"/>
      <c r="CC45" s="118"/>
      <c r="CD45" s="118"/>
      <c r="CE45" s="50" t="s">
        <v>23</v>
      </c>
      <c r="CF45" s="117"/>
      <c r="CG45" s="118"/>
      <c r="CH45" s="118"/>
      <c r="CI45" s="51"/>
      <c r="CJ45" s="117"/>
      <c r="CK45" s="118"/>
      <c r="CL45" s="118"/>
      <c r="CM45" s="50" t="s">
        <v>23</v>
      </c>
      <c r="CN45" s="117"/>
      <c r="CO45" s="118"/>
      <c r="CP45" s="118"/>
      <c r="CQ45" s="41"/>
      <c r="CR45" s="22"/>
      <c r="CS45" s="48"/>
      <c r="CT45" s="117"/>
      <c r="CU45" s="118"/>
      <c r="CV45" s="118"/>
      <c r="CW45" s="50" t="s">
        <v>23</v>
      </c>
      <c r="CX45" s="117"/>
      <c r="CY45" s="118"/>
      <c r="CZ45" s="118"/>
      <c r="DA45" s="51"/>
      <c r="DB45" s="117"/>
      <c r="DC45" s="118"/>
      <c r="DD45" s="118"/>
      <c r="DE45" s="50" t="s">
        <v>23</v>
      </c>
      <c r="DF45" s="117"/>
      <c r="DG45" s="118"/>
      <c r="DH45" s="118"/>
      <c r="DI45" s="41"/>
      <c r="DJ45" s="37"/>
      <c r="DK45" s="22"/>
      <c r="DL45" s="22"/>
      <c r="DM45" s="22"/>
      <c r="DN45" s="24"/>
    </row>
    <row r="46" spans="1:706" ht="4.5" customHeight="1" x14ac:dyDescent="0.15">
      <c r="A46" s="13"/>
      <c r="B46" s="21"/>
      <c r="C46" s="22"/>
      <c r="D46" s="22"/>
      <c r="E46" s="22"/>
      <c r="F46" s="33"/>
      <c r="G46" s="131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3"/>
      <c r="X46" s="22"/>
      <c r="Y46" s="45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7"/>
      <c r="AP46" s="22"/>
      <c r="AQ46" s="45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7"/>
      <c r="BH46" s="22"/>
      <c r="BI46" s="45"/>
      <c r="BJ46" s="46"/>
      <c r="BK46" s="46"/>
      <c r="BL46" s="46"/>
      <c r="BM46" s="46"/>
      <c r="BN46" s="46"/>
      <c r="BO46" s="46"/>
      <c r="BP46" s="46"/>
      <c r="BQ46" s="46"/>
      <c r="BR46" s="46"/>
      <c r="BS46" s="46"/>
      <c r="BT46" s="46"/>
      <c r="BU46" s="46"/>
      <c r="BV46" s="46"/>
      <c r="BW46" s="46"/>
      <c r="BX46" s="46"/>
      <c r="BY46" s="47"/>
      <c r="BZ46" s="22"/>
      <c r="CA46" s="45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/>
      <c r="CP46" s="46"/>
      <c r="CQ46" s="47"/>
      <c r="CR46" s="22"/>
      <c r="CS46" s="45"/>
      <c r="CT46" s="46"/>
      <c r="CU46" s="46"/>
      <c r="CV46" s="46"/>
      <c r="CW46" s="46"/>
      <c r="CX46" s="46"/>
      <c r="CY46" s="46"/>
      <c r="CZ46" s="46"/>
      <c r="DA46" s="46"/>
      <c r="DB46" s="46"/>
      <c r="DC46" s="46"/>
      <c r="DD46" s="46"/>
      <c r="DE46" s="46"/>
      <c r="DF46" s="46"/>
      <c r="DG46" s="46"/>
      <c r="DH46" s="46"/>
      <c r="DI46" s="47"/>
      <c r="DJ46" s="37"/>
      <c r="DK46" s="22"/>
      <c r="DL46" s="22"/>
      <c r="DM46" s="22"/>
      <c r="DN46" s="24"/>
    </row>
    <row r="47" spans="1:706" ht="4.5" customHeight="1" x14ac:dyDescent="0.15">
      <c r="A47" s="13"/>
      <c r="B47" s="21"/>
      <c r="C47" s="22"/>
      <c r="D47" s="22"/>
      <c r="E47" s="22"/>
      <c r="F47" s="5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53"/>
      <c r="DK47" s="22"/>
      <c r="DL47" s="22"/>
      <c r="DM47" s="22"/>
      <c r="DN47" s="13"/>
      <c r="DO47" s="24"/>
    </row>
    <row r="48" spans="1:706" ht="15" customHeight="1" x14ac:dyDescent="0.15">
      <c r="A48" s="13"/>
      <c r="B48" s="21"/>
      <c r="C48" s="22"/>
      <c r="D48" s="22"/>
      <c r="E48" s="22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  <c r="DB48" s="31"/>
      <c r="DC48" s="31"/>
      <c r="DD48" s="31"/>
      <c r="DE48" s="31"/>
      <c r="DF48" s="31"/>
      <c r="DG48" s="31"/>
      <c r="DH48" s="31"/>
      <c r="DI48" s="31"/>
      <c r="DJ48" s="31"/>
      <c r="DK48" s="22"/>
      <c r="DL48" s="22"/>
      <c r="DM48" s="22"/>
      <c r="DN48" s="13"/>
      <c r="DO48" s="24"/>
    </row>
    <row r="49" spans="1:119" ht="4.5" customHeight="1" x14ac:dyDescent="0.15">
      <c r="A49" s="13"/>
      <c r="B49" s="21"/>
      <c r="C49" s="22"/>
      <c r="D49" s="22"/>
      <c r="E49" s="22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9"/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2"/>
      <c r="DL49" s="22"/>
      <c r="DM49" s="22"/>
      <c r="DN49" s="13"/>
      <c r="DO49" s="24"/>
    </row>
    <row r="50" spans="1:119" ht="15" customHeight="1" x14ac:dyDescent="0.15">
      <c r="A50" s="13"/>
      <c r="B50" s="21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13"/>
      <c r="DO50" s="24"/>
    </row>
    <row r="51" spans="1:119" ht="4.5" customHeight="1" x14ac:dyDescent="0.15">
      <c r="A51" s="13"/>
      <c r="B51" s="21"/>
      <c r="C51" s="22"/>
      <c r="D51" s="22"/>
      <c r="E51" s="22"/>
      <c r="F51" s="30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  <c r="CW51" s="31"/>
      <c r="CX51" s="31"/>
      <c r="CY51" s="31"/>
      <c r="CZ51" s="31"/>
      <c r="DA51" s="31"/>
      <c r="DB51" s="31"/>
      <c r="DC51" s="31"/>
      <c r="DD51" s="31"/>
      <c r="DE51" s="31"/>
      <c r="DF51" s="31"/>
      <c r="DG51" s="31"/>
      <c r="DH51" s="31"/>
      <c r="DI51" s="31"/>
      <c r="DJ51" s="32"/>
      <c r="DK51" s="22"/>
      <c r="DL51" s="22"/>
      <c r="DM51" s="22"/>
      <c r="DN51" s="13"/>
      <c r="DO51" s="24"/>
    </row>
    <row r="52" spans="1:119" ht="4.5" customHeight="1" x14ac:dyDescent="0.15">
      <c r="A52" s="13"/>
      <c r="B52" s="21"/>
      <c r="C52" s="22"/>
      <c r="D52" s="22"/>
      <c r="E52" s="22"/>
      <c r="F52" s="33"/>
      <c r="G52" s="126" t="s">
        <v>24</v>
      </c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8"/>
      <c r="X52" s="22"/>
      <c r="Y52" s="34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6"/>
      <c r="DJ52" s="37"/>
      <c r="DK52" s="22"/>
      <c r="DL52" s="22"/>
      <c r="DM52" s="22"/>
      <c r="DN52" s="24"/>
    </row>
    <row r="53" spans="1:119" ht="12" customHeight="1" x14ac:dyDescent="0.15">
      <c r="A53" s="13"/>
      <c r="B53" s="21"/>
      <c r="C53" s="22"/>
      <c r="D53" s="22"/>
      <c r="E53" s="22"/>
      <c r="F53" s="33"/>
      <c r="G53" s="129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30"/>
      <c r="X53" s="22"/>
      <c r="Y53" s="38"/>
      <c r="Z53" s="39"/>
      <c r="AA53" s="39"/>
      <c r="AB53" s="39"/>
      <c r="AC53" s="39"/>
      <c r="AD53" s="40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39"/>
      <c r="CP53" s="39"/>
      <c r="CQ53" s="39"/>
      <c r="CR53" s="39"/>
      <c r="CS53" s="39"/>
      <c r="CT53" s="39"/>
      <c r="CU53" s="39"/>
      <c r="CV53" s="39"/>
      <c r="CW53" s="39"/>
      <c r="CX53" s="39"/>
      <c r="CY53" s="39"/>
      <c r="CZ53" s="39"/>
      <c r="DA53" s="39"/>
      <c r="DB53" s="39"/>
      <c r="DC53" s="39"/>
      <c r="DD53" s="39"/>
      <c r="DE53" s="39"/>
      <c r="DF53" s="39"/>
      <c r="DG53" s="39"/>
      <c r="DH53" s="39"/>
      <c r="DI53" s="41"/>
      <c r="DJ53" s="37"/>
      <c r="DK53" s="22"/>
      <c r="DL53" s="22"/>
      <c r="DM53" s="22"/>
      <c r="DN53" s="24"/>
    </row>
    <row r="54" spans="1:119" ht="19.5" customHeight="1" x14ac:dyDescent="0.15">
      <c r="A54" s="13"/>
      <c r="B54" s="21"/>
      <c r="C54" s="22"/>
      <c r="D54" s="22"/>
      <c r="E54" s="22"/>
      <c r="F54" s="33"/>
      <c r="G54" s="129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30"/>
      <c r="X54" s="22"/>
      <c r="Y54" s="38"/>
      <c r="Z54" s="43"/>
      <c r="AA54" s="39"/>
      <c r="AB54" s="39"/>
      <c r="AC54" s="39"/>
      <c r="AD54" s="40"/>
      <c r="AE54" s="39"/>
      <c r="AF54" s="39"/>
      <c r="AG54" s="39"/>
      <c r="AH54" s="119" t="s">
        <v>10</v>
      </c>
      <c r="AI54" s="107"/>
      <c r="AJ54" s="134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06"/>
      <c r="AX54" s="106"/>
      <c r="AY54" s="106"/>
      <c r="AZ54" s="106"/>
      <c r="BA54" s="106"/>
      <c r="BB54" s="106"/>
      <c r="BC54" s="106"/>
      <c r="BD54" s="106"/>
      <c r="BE54" s="106"/>
      <c r="BF54" s="106"/>
      <c r="BG54" s="107"/>
      <c r="BH54" s="39" t="s">
        <v>11</v>
      </c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44"/>
      <c r="CC54" s="44"/>
      <c r="CD54" s="39"/>
      <c r="CE54" s="39"/>
      <c r="CF54" s="39"/>
      <c r="CG54" s="39"/>
      <c r="CH54" s="39"/>
      <c r="CI54" s="39"/>
      <c r="CJ54" s="39"/>
      <c r="CK54" s="39"/>
      <c r="CL54" s="119" t="s">
        <v>10</v>
      </c>
      <c r="CM54" s="107"/>
      <c r="CN54" s="120"/>
      <c r="CO54" s="106"/>
      <c r="CP54" s="106"/>
      <c r="CQ54" s="106"/>
      <c r="CR54" s="106"/>
      <c r="CS54" s="106"/>
      <c r="CT54" s="106"/>
      <c r="CU54" s="106"/>
      <c r="CV54" s="106"/>
      <c r="CW54" s="106"/>
      <c r="CX54" s="106"/>
      <c r="CY54" s="106"/>
      <c r="CZ54" s="106"/>
      <c r="DA54" s="106"/>
      <c r="DB54" s="106"/>
      <c r="DC54" s="106"/>
      <c r="DD54" s="106"/>
      <c r="DE54" s="106"/>
      <c r="DF54" s="107"/>
      <c r="DG54" s="121" t="s">
        <v>11</v>
      </c>
      <c r="DH54" s="107"/>
      <c r="DI54" s="41"/>
      <c r="DJ54" s="37"/>
      <c r="DK54" s="22"/>
      <c r="DL54" s="22"/>
      <c r="DM54" s="22"/>
      <c r="DN54" s="24"/>
    </row>
    <row r="55" spans="1:119" ht="12" customHeight="1" x14ac:dyDescent="0.15">
      <c r="A55" s="13"/>
      <c r="B55" s="21"/>
      <c r="C55" s="22"/>
      <c r="D55" s="22"/>
      <c r="E55" s="22"/>
      <c r="F55" s="33"/>
      <c r="G55" s="129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30"/>
      <c r="X55" s="22"/>
      <c r="Y55" s="38"/>
      <c r="Z55" s="43"/>
      <c r="AA55" s="39"/>
      <c r="AB55" s="39"/>
      <c r="AC55" s="39"/>
      <c r="AD55" s="40"/>
      <c r="AE55" s="39"/>
      <c r="AF55" s="39"/>
      <c r="AG55" s="39"/>
      <c r="AH55" s="43"/>
      <c r="AI55" s="43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  <c r="CP55" s="39"/>
      <c r="CQ55" s="39"/>
      <c r="CR55" s="39"/>
      <c r="CS55" s="39"/>
      <c r="CT55" s="39"/>
      <c r="CU55" s="39"/>
      <c r="CV55" s="39"/>
      <c r="CW55" s="39"/>
      <c r="CX55" s="43"/>
      <c r="CY55" s="39"/>
      <c r="CZ55" s="39"/>
      <c r="DA55" s="39"/>
      <c r="DB55" s="39"/>
      <c r="DC55" s="39"/>
      <c r="DD55" s="39"/>
      <c r="DE55" s="43"/>
      <c r="DF55" s="39"/>
      <c r="DG55" s="39"/>
      <c r="DH55" s="39"/>
      <c r="DI55" s="41"/>
      <c r="DJ55" s="37"/>
      <c r="DK55" s="22"/>
      <c r="DL55" s="22"/>
      <c r="DM55" s="22"/>
      <c r="DN55" s="24"/>
    </row>
    <row r="56" spans="1:119" ht="4.5" customHeight="1" x14ac:dyDescent="0.15">
      <c r="A56" s="13"/>
      <c r="B56" s="21"/>
      <c r="C56" s="22"/>
      <c r="D56" s="22"/>
      <c r="E56" s="22"/>
      <c r="F56" s="33"/>
      <c r="G56" s="129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30"/>
      <c r="X56" s="22"/>
      <c r="Y56" s="45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46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7"/>
      <c r="DJ56" s="37"/>
      <c r="DK56" s="22"/>
      <c r="DL56" s="22"/>
      <c r="DM56" s="22"/>
      <c r="DN56" s="24"/>
    </row>
    <row r="57" spans="1:119" ht="4.5" customHeight="1" x14ac:dyDescent="0.15">
      <c r="A57" s="13"/>
      <c r="B57" s="21"/>
      <c r="C57" s="22"/>
      <c r="D57" s="22"/>
      <c r="E57" s="22"/>
      <c r="F57" s="33"/>
      <c r="G57" s="129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30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37"/>
      <c r="DK57" s="22"/>
      <c r="DL57" s="22"/>
      <c r="DM57" s="22"/>
      <c r="DN57" s="24"/>
    </row>
    <row r="58" spans="1:119" ht="30" customHeight="1" x14ac:dyDescent="0.15">
      <c r="A58" s="13"/>
      <c r="B58" s="21"/>
      <c r="C58" s="22"/>
      <c r="D58" s="22"/>
      <c r="E58" s="22"/>
      <c r="F58" s="33"/>
      <c r="G58" s="129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30"/>
      <c r="X58" s="22"/>
      <c r="Y58" s="122" t="s">
        <v>12</v>
      </c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  <c r="BC58" s="123"/>
      <c r="BD58" s="123"/>
      <c r="BE58" s="123"/>
      <c r="BF58" s="123"/>
      <c r="BG58" s="123"/>
      <c r="BH58" s="123"/>
      <c r="BI58" s="123"/>
      <c r="BJ58" s="123"/>
      <c r="BK58" s="123"/>
      <c r="BL58" s="123"/>
      <c r="BM58" s="123"/>
      <c r="BN58" s="123"/>
      <c r="BO58" s="123"/>
      <c r="BP58" s="123"/>
      <c r="BQ58" s="123"/>
      <c r="BR58" s="123"/>
      <c r="BS58" s="123"/>
      <c r="BT58" s="123"/>
      <c r="BU58" s="123"/>
      <c r="BV58" s="123"/>
      <c r="BW58" s="123"/>
      <c r="BX58" s="123"/>
      <c r="BY58" s="123"/>
      <c r="BZ58" s="123"/>
      <c r="CA58" s="123"/>
      <c r="CB58" s="123"/>
      <c r="CC58" s="123"/>
      <c r="CD58" s="123"/>
      <c r="CE58" s="123"/>
      <c r="CF58" s="123"/>
      <c r="CG58" s="123"/>
      <c r="CH58" s="123"/>
      <c r="CI58" s="123"/>
      <c r="CJ58" s="123"/>
      <c r="CK58" s="123"/>
      <c r="CL58" s="123"/>
      <c r="CM58" s="123"/>
      <c r="CN58" s="123"/>
      <c r="CO58" s="123"/>
      <c r="CP58" s="123"/>
      <c r="CQ58" s="123"/>
      <c r="CR58" s="123"/>
      <c r="CS58" s="123"/>
      <c r="CT58" s="123"/>
      <c r="CU58" s="123"/>
      <c r="CV58" s="123"/>
      <c r="CW58" s="123"/>
      <c r="CX58" s="123"/>
      <c r="CY58" s="123"/>
      <c r="CZ58" s="123"/>
      <c r="DA58" s="123"/>
      <c r="DB58" s="123"/>
      <c r="DC58" s="123"/>
      <c r="DD58" s="123"/>
      <c r="DE58" s="123"/>
      <c r="DF58" s="123"/>
      <c r="DG58" s="123"/>
      <c r="DH58" s="123"/>
      <c r="DI58" s="124"/>
      <c r="DJ58" s="37"/>
      <c r="DK58" s="22"/>
      <c r="DL58" s="22"/>
      <c r="DM58" s="22"/>
      <c r="DN58" s="24"/>
    </row>
    <row r="59" spans="1:119" ht="4.5" customHeight="1" x14ac:dyDescent="0.15">
      <c r="A59" s="13"/>
      <c r="B59" s="21"/>
      <c r="C59" s="22"/>
      <c r="D59" s="22"/>
      <c r="E59" s="22"/>
      <c r="F59" s="33"/>
      <c r="G59" s="129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30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37"/>
      <c r="DK59" s="22"/>
      <c r="DL59" s="22"/>
      <c r="DM59" s="22"/>
      <c r="DN59" s="24"/>
    </row>
    <row r="60" spans="1:119" ht="30" customHeight="1" x14ac:dyDescent="0.15">
      <c r="A60" s="13"/>
      <c r="B60" s="21"/>
      <c r="C60" s="22"/>
      <c r="D60" s="22"/>
      <c r="E60" s="22"/>
      <c r="F60" s="33"/>
      <c r="G60" s="129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30"/>
      <c r="X60" s="22"/>
      <c r="Y60" s="125" t="s">
        <v>13</v>
      </c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4"/>
      <c r="AP60" s="22"/>
      <c r="AQ60" s="125" t="s">
        <v>14</v>
      </c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  <c r="BC60" s="123"/>
      <c r="BD60" s="123"/>
      <c r="BE60" s="123"/>
      <c r="BF60" s="123"/>
      <c r="BG60" s="124"/>
      <c r="BH60" s="22"/>
      <c r="BI60" s="125" t="s">
        <v>15</v>
      </c>
      <c r="BJ60" s="123"/>
      <c r="BK60" s="123"/>
      <c r="BL60" s="123"/>
      <c r="BM60" s="123"/>
      <c r="BN60" s="123"/>
      <c r="BO60" s="123"/>
      <c r="BP60" s="123"/>
      <c r="BQ60" s="123"/>
      <c r="BR60" s="123"/>
      <c r="BS60" s="123"/>
      <c r="BT60" s="123"/>
      <c r="BU60" s="123"/>
      <c r="BV60" s="123"/>
      <c r="BW60" s="123"/>
      <c r="BX60" s="123"/>
      <c r="BY60" s="124"/>
      <c r="BZ60" s="22"/>
      <c r="CA60" s="125" t="s">
        <v>16</v>
      </c>
      <c r="CB60" s="123"/>
      <c r="CC60" s="123"/>
      <c r="CD60" s="123"/>
      <c r="CE60" s="123"/>
      <c r="CF60" s="123"/>
      <c r="CG60" s="123"/>
      <c r="CH60" s="123"/>
      <c r="CI60" s="123"/>
      <c r="CJ60" s="123"/>
      <c r="CK60" s="123"/>
      <c r="CL60" s="123"/>
      <c r="CM60" s="123"/>
      <c r="CN60" s="123"/>
      <c r="CO60" s="123"/>
      <c r="CP60" s="123"/>
      <c r="CQ60" s="124"/>
      <c r="CR60" s="22"/>
      <c r="CS60" s="125" t="s">
        <v>17</v>
      </c>
      <c r="CT60" s="123"/>
      <c r="CU60" s="123"/>
      <c r="CV60" s="123"/>
      <c r="CW60" s="123"/>
      <c r="CX60" s="123"/>
      <c r="CY60" s="123"/>
      <c r="CZ60" s="123"/>
      <c r="DA60" s="123"/>
      <c r="DB60" s="123"/>
      <c r="DC60" s="123"/>
      <c r="DD60" s="123"/>
      <c r="DE60" s="123"/>
      <c r="DF60" s="123"/>
      <c r="DG60" s="123"/>
      <c r="DH60" s="123"/>
      <c r="DI60" s="124"/>
      <c r="DJ60" s="37"/>
      <c r="DK60" s="22"/>
      <c r="DL60" s="22"/>
      <c r="DM60" s="22"/>
      <c r="DN60" s="24"/>
    </row>
    <row r="61" spans="1:119" ht="4.5" customHeight="1" x14ac:dyDescent="0.15">
      <c r="A61" s="13"/>
      <c r="B61" s="21"/>
      <c r="C61" s="22"/>
      <c r="D61" s="22"/>
      <c r="E61" s="22"/>
      <c r="F61" s="33"/>
      <c r="G61" s="129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30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37"/>
      <c r="DK61" s="22"/>
      <c r="DL61" s="22"/>
      <c r="DM61" s="22"/>
      <c r="DN61" s="24"/>
    </row>
    <row r="62" spans="1:119" ht="4.5" customHeight="1" x14ac:dyDescent="0.15">
      <c r="A62" s="13"/>
      <c r="B62" s="21"/>
      <c r="C62" s="22"/>
      <c r="D62" s="22"/>
      <c r="E62" s="22"/>
      <c r="F62" s="33"/>
      <c r="G62" s="129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30"/>
      <c r="X62" s="22"/>
      <c r="Y62" s="34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6"/>
      <c r="AP62" s="22"/>
      <c r="AQ62" s="34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6"/>
      <c r="BH62" s="22"/>
      <c r="BI62" s="34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6"/>
      <c r="BZ62" s="22"/>
      <c r="CA62" s="34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6"/>
      <c r="CR62" s="22"/>
      <c r="CS62" s="34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6"/>
      <c r="DJ62" s="37"/>
      <c r="DK62" s="22"/>
      <c r="DL62" s="22"/>
      <c r="DM62" s="22"/>
      <c r="DN62" s="24"/>
    </row>
    <row r="63" spans="1:119" ht="12" customHeight="1" x14ac:dyDescent="0.15">
      <c r="A63" s="13"/>
      <c r="B63" s="21"/>
      <c r="C63" s="22"/>
      <c r="D63" s="22"/>
      <c r="E63" s="22"/>
      <c r="F63" s="33"/>
      <c r="G63" s="129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30"/>
      <c r="X63" s="22"/>
      <c r="Y63" s="48"/>
      <c r="Z63" s="119" t="s">
        <v>18</v>
      </c>
      <c r="AA63" s="106"/>
      <c r="AB63" s="106"/>
      <c r="AC63" s="106"/>
      <c r="AD63" s="106"/>
      <c r="AE63" s="106"/>
      <c r="AF63" s="107"/>
      <c r="AG63" s="40" t="s">
        <v>19</v>
      </c>
      <c r="AH63" s="119" t="s">
        <v>20</v>
      </c>
      <c r="AI63" s="106"/>
      <c r="AJ63" s="106"/>
      <c r="AK63" s="106"/>
      <c r="AL63" s="106"/>
      <c r="AM63" s="106"/>
      <c r="AN63" s="107"/>
      <c r="AO63" s="41"/>
      <c r="AP63" s="22"/>
      <c r="AQ63" s="48"/>
      <c r="AR63" s="119" t="s">
        <v>18</v>
      </c>
      <c r="AS63" s="106"/>
      <c r="AT63" s="106"/>
      <c r="AU63" s="106"/>
      <c r="AV63" s="106"/>
      <c r="AW63" s="106"/>
      <c r="AX63" s="107"/>
      <c r="AY63" s="40" t="s">
        <v>19</v>
      </c>
      <c r="AZ63" s="119" t="s">
        <v>20</v>
      </c>
      <c r="BA63" s="106"/>
      <c r="BB63" s="106"/>
      <c r="BC63" s="106"/>
      <c r="BD63" s="106"/>
      <c r="BE63" s="106"/>
      <c r="BF63" s="107"/>
      <c r="BG63" s="41"/>
      <c r="BH63" s="22"/>
      <c r="BI63" s="48"/>
      <c r="BJ63" s="119" t="s">
        <v>18</v>
      </c>
      <c r="BK63" s="106"/>
      <c r="BL63" s="106"/>
      <c r="BM63" s="106"/>
      <c r="BN63" s="106"/>
      <c r="BO63" s="106"/>
      <c r="BP63" s="107"/>
      <c r="BQ63" s="40" t="s">
        <v>19</v>
      </c>
      <c r="BR63" s="119" t="s">
        <v>20</v>
      </c>
      <c r="BS63" s="106"/>
      <c r="BT63" s="106"/>
      <c r="BU63" s="106"/>
      <c r="BV63" s="106"/>
      <c r="BW63" s="106"/>
      <c r="BX63" s="107"/>
      <c r="BY63" s="41"/>
      <c r="BZ63" s="22"/>
      <c r="CA63" s="48"/>
      <c r="CB63" s="119" t="s">
        <v>18</v>
      </c>
      <c r="CC63" s="106"/>
      <c r="CD63" s="106"/>
      <c r="CE63" s="106"/>
      <c r="CF63" s="106"/>
      <c r="CG63" s="106"/>
      <c r="CH63" s="107"/>
      <c r="CI63" s="40" t="s">
        <v>19</v>
      </c>
      <c r="CJ63" s="119" t="s">
        <v>20</v>
      </c>
      <c r="CK63" s="106"/>
      <c r="CL63" s="106"/>
      <c r="CM63" s="106"/>
      <c r="CN63" s="106"/>
      <c r="CO63" s="106"/>
      <c r="CP63" s="107"/>
      <c r="CQ63" s="41"/>
      <c r="CR63" s="22"/>
      <c r="CS63" s="48"/>
      <c r="CT63" s="119" t="s">
        <v>18</v>
      </c>
      <c r="CU63" s="106"/>
      <c r="CV63" s="106"/>
      <c r="CW63" s="106"/>
      <c r="CX63" s="106"/>
      <c r="CY63" s="106"/>
      <c r="CZ63" s="107"/>
      <c r="DA63" s="40" t="s">
        <v>19</v>
      </c>
      <c r="DB63" s="119" t="s">
        <v>20</v>
      </c>
      <c r="DC63" s="106"/>
      <c r="DD63" s="106"/>
      <c r="DE63" s="106"/>
      <c r="DF63" s="106"/>
      <c r="DG63" s="106"/>
      <c r="DH63" s="107"/>
      <c r="DI63" s="41"/>
      <c r="DJ63" s="37"/>
      <c r="DK63" s="22"/>
      <c r="DL63" s="22"/>
      <c r="DM63" s="22"/>
      <c r="DN63" s="24"/>
    </row>
    <row r="64" spans="1:119" ht="12" customHeight="1" x14ac:dyDescent="0.15">
      <c r="A64" s="13"/>
      <c r="B64" s="21"/>
      <c r="C64" s="22"/>
      <c r="D64" s="22"/>
      <c r="E64" s="22"/>
      <c r="F64" s="33"/>
      <c r="G64" s="129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30"/>
      <c r="X64" s="22"/>
      <c r="Y64" s="48"/>
      <c r="Z64" s="119" t="s">
        <v>21</v>
      </c>
      <c r="AA64" s="106"/>
      <c r="AB64" s="107"/>
      <c r="AC64" s="49"/>
      <c r="AD64" s="119" t="s">
        <v>22</v>
      </c>
      <c r="AE64" s="106"/>
      <c r="AF64" s="107"/>
      <c r="AG64" s="40"/>
      <c r="AH64" s="119" t="s">
        <v>21</v>
      </c>
      <c r="AI64" s="106"/>
      <c r="AJ64" s="107"/>
      <c r="AK64" s="43" t="s">
        <v>23</v>
      </c>
      <c r="AL64" s="119" t="s">
        <v>22</v>
      </c>
      <c r="AM64" s="106"/>
      <c r="AN64" s="107"/>
      <c r="AO64" s="41"/>
      <c r="AP64" s="22"/>
      <c r="AQ64" s="48"/>
      <c r="AR64" s="119" t="s">
        <v>21</v>
      </c>
      <c r="AS64" s="106"/>
      <c r="AT64" s="107"/>
      <c r="AU64" s="43" t="s">
        <v>23</v>
      </c>
      <c r="AV64" s="119" t="s">
        <v>22</v>
      </c>
      <c r="AW64" s="106"/>
      <c r="AX64" s="107"/>
      <c r="AY64" s="40"/>
      <c r="AZ64" s="119" t="s">
        <v>21</v>
      </c>
      <c r="BA64" s="106"/>
      <c r="BB64" s="107"/>
      <c r="BC64" s="43" t="s">
        <v>23</v>
      </c>
      <c r="BD64" s="119" t="s">
        <v>22</v>
      </c>
      <c r="BE64" s="106"/>
      <c r="BF64" s="107"/>
      <c r="BG64" s="41"/>
      <c r="BH64" s="22"/>
      <c r="BI64" s="48"/>
      <c r="BJ64" s="119" t="s">
        <v>21</v>
      </c>
      <c r="BK64" s="106"/>
      <c r="BL64" s="107"/>
      <c r="BM64" s="49"/>
      <c r="BN64" s="119" t="s">
        <v>22</v>
      </c>
      <c r="BO64" s="106"/>
      <c r="BP64" s="107"/>
      <c r="BQ64" s="40"/>
      <c r="BR64" s="119" t="s">
        <v>21</v>
      </c>
      <c r="BS64" s="106"/>
      <c r="BT64" s="107"/>
      <c r="BU64" s="43" t="s">
        <v>23</v>
      </c>
      <c r="BV64" s="119" t="s">
        <v>22</v>
      </c>
      <c r="BW64" s="106"/>
      <c r="BX64" s="107"/>
      <c r="BY64" s="41"/>
      <c r="BZ64" s="22"/>
      <c r="CA64" s="48"/>
      <c r="CB64" s="119" t="s">
        <v>21</v>
      </c>
      <c r="CC64" s="106"/>
      <c r="CD64" s="107"/>
      <c r="CE64" s="43" t="s">
        <v>23</v>
      </c>
      <c r="CF64" s="119" t="s">
        <v>22</v>
      </c>
      <c r="CG64" s="106"/>
      <c r="CH64" s="107"/>
      <c r="CI64" s="40"/>
      <c r="CJ64" s="119" t="s">
        <v>21</v>
      </c>
      <c r="CK64" s="106"/>
      <c r="CL64" s="107"/>
      <c r="CM64" s="43" t="s">
        <v>23</v>
      </c>
      <c r="CN64" s="119" t="s">
        <v>22</v>
      </c>
      <c r="CO64" s="106"/>
      <c r="CP64" s="107"/>
      <c r="CQ64" s="41"/>
      <c r="CR64" s="22"/>
      <c r="CS64" s="48"/>
      <c r="CT64" s="119" t="s">
        <v>21</v>
      </c>
      <c r="CU64" s="106"/>
      <c r="CV64" s="107"/>
      <c r="CW64" s="49"/>
      <c r="CX64" s="119" t="s">
        <v>22</v>
      </c>
      <c r="CY64" s="106"/>
      <c r="CZ64" s="107"/>
      <c r="DA64" s="40"/>
      <c r="DB64" s="119" t="s">
        <v>21</v>
      </c>
      <c r="DC64" s="106"/>
      <c r="DD64" s="107"/>
      <c r="DE64" s="43" t="s">
        <v>23</v>
      </c>
      <c r="DF64" s="119" t="s">
        <v>22</v>
      </c>
      <c r="DG64" s="106"/>
      <c r="DH64" s="107"/>
      <c r="DI64" s="41"/>
      <c r="DJ64" s="37"/>
      <c r="DK64" s="22"/>
      <c r="DL64" s="22"/>
      <c r="DM64" s="22"/>
      <c r="DN64" s="24"/>
    </row>
    <row r="65" spans="1:706" ht="19.5" customHeight="1" x14ac:dyDescent="0.15">
      <c r="A65" s="13"/>
      <c r="B65" s="21"/>
      <c r="C65" s="22"/>
      <c r="D65" s="22"/>
      <c r="E65" s="22"/>
      <c r="F65" s="33"/>
      <c r="G65" s="129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30"/>
      <c r="X65" s="22"/>
      <c r="Y65" s="48"/>
      <c r="Z65" s="117"/>
      <c r="AA65" s="118"/>
      <c r="AB65" s="118"/>
      <c r="AC65" s="50" t="s">
        <v>23</v>
      </c>
      <c r="AD65" s="117"/>
      <c r="AE65" s="118"/>
      <c r="AF65" s="118"/>
      <c r="AG65" s="51"/>
      <c r="AH65" s="117"/>
      <c r="AI65" s="118"/>
      <c r="AJ65" s="118"/>
      <c r="AK65" s="50" t="s">
        <v>23</v>
      </c>
      <c r="AL65" s="117"/>
      <c r="AM65" s="118"/>
      <c r="AN65" s="118"/>
      <c r="AO65" s="41"/>
      <c r="AP65" s="22"/>
      <c r="AQ65" s="48"/>
      <c r="AR65" s="117"/>
      <c r="AS65" s="118"/>
      <c r="AT65" s="118"/>
      <c r="AU65" s="50" t="s">
        <v>23</v>
      </c>
      <c r="AV65" s="117"/>
      <c r="AW65" s="118"/>
      <c r="AX65" s="118"/>
      <c r="AY65" s="51"/>
      <c r="AZ65" s="117"/>
      <c r="BA65" s="118"/>
      <c r="BB65" s="118"/>
      <c r="BC65" s="50" t="s">
        <v>23</v>
      </c>
      <c r="BD65" s="117"/>
      <c r="BE65" s="118"/>
      <c r="BF65" s="118"/>
      <c r="BG65" s="41"/>
      <c r="BH65" s="22"/>
      <c r="BI65" s="48"/>
      <c r="BJ65" s="117"/>
      <c r="BK65" s="118"/>
      <c r="BL65" s="118"/>
      <c r="BM65" s="50" t="s">
        <v>23</v>
      </c>
      <c r="BN65" s="117"/>
      <c r="BO65" s="118"/>
      <c r="BP65" s="118"/>
      <c r="BQ65" s="51"/>
      <c r="BR65" s="117"/>
      <c r="BS65" s="118"/>
      <c r="BT65" s="118"/>
      <c r="BU65" s="50" t="s">
        <v>23</v>
      </c>
      <c r="BV65" s="117"/>
      <c r="BW65" s="118"/>
      <c r="BX65" s="118"/>
      <c r="BY65" s="41"/>
      <c r="BZ65" s="22"/>
      <c r="CA65" s="48"/>
      <c r="CB65" s="117"/>
      <c r="CC65" s="118"/>
      <c r="CD65" s="118"/>
      <c r="CE65" s="50" t="s">
        <v>23</v>
      </c>
      <c r="CF65" s="117"/>
      <c r="CG65" s="118"/>
      <c r="CH65" s="118"/>
      <c r="CI65" s="51"/>
      <c r="CJ65" s="117"/>
      <c r="CK65" s="118"/>
      <c r="CL65" s="118"/>
      <c r="CM65" s="50" t="s">
        <v>23</v>
      </c>
      <c r="CN65" s="117"/>
      <c r="CO65" s="118"/>
      <c r="CP65" s="118"/>
      <c r="CQ65" s="41"/>
      <c r="CR65" s="22"/>
      <c r="CS65" s="48"/>
      <c r="CT65" s="117"/>
      <c r="CU65" s="118"/>
      <c r="CV65" s="118"/>
      <c r="CW65" s="50" t="s">
        <v>23</v>
      </c>
      <c r="CX65" s="117"/>
      <c r="CY65" s="118"/>
      <c r="CZ65" s="118"/>
      <c r="DA65" s="51"/>
      <c r="DB65" s="117"/>
      <c r="DC65" s="118"/>
      <c r="DD65" s="118"/>
      <c r="DE65" s="50" t="s">
        <v>23</v>
      </c>
      <c r="DF65" s="117"/>
      <c r="DG65" s="118"/>
      <c r="DH65" s="118"/>
      <c r="DI65" s="41"/>
      <c r="DJ65" s="37"/>
      <c r="DK65" s="22"/>
      <c r="DL65" s="22"/>
      <c r="DM65" s="22"/>
      <c r="DN65" s="24"/>
    </row>
    <row r="66" spans="1:706" ht="4.5" customHeight="1" x14ac:dyDescent="0.15">
      <c r="A66" s="13"/>
      <c r="B66" s="21"/>
      <c r="C66" s="22"/>
      <c r="D66" s="22"/>
      <c r="E66" s="22"/>
      <c r="F66" s="33"/>
      <c r="G66" s="131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3"/>
      <c r="X66" s="22"/>
      <c r="Y66" s="45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7"/>
      <c r="AP66" s="22"/>
      <c r="AQ66" s="45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7"/>
      <c r="BH66" s="22"/>
      <c r="BI66" s="45"/>
      <c r="BJ66" s="46"/>
      <c r="BK66" s="46"/>
      <c r="BL66" s="46"/>
      <c r="BM66" s="46"/>
      <c r="BN66" s="46"/>
      <c r="BO66" s="46"/>
      <c r="BP66" s="46"/>
      <c r="BQ66" s="46"/>
      <c r="BR66" s="46"/>
      <c r="BS66" s="46"/>
      <c r="BT66" s="46"/>
      <c r="BU66" s="46"/>
      <c r="BV66" s="46"/>
      <c r="BW66" s="46"/>
      <c r="BX66" s="46"/>
      <c r="BY66" s="47"/>
      <c r="BZ66" s="22"/>
      <c r="CA66" s="45"/>
      <c r="CB66" s="46"/>
      <c r="CC66" s="46"/>
      <c r="CD66" s="46"/>
      <c r="CE66" s="46"/>
      <c r="CF66" s="46"/>
      <c r="CG66" s="46"/>
      <c r="CH66" s="46"/>
      <c r="CI66" s="46"/>
      <c r="CJ66" s="46"/>
      <c r="CK66" s="46"/>
      <c r="CL66" s="46"/>
      <c r="CM66" s="46"/>
      <c r="CN66" s="46"/>
      <c r="CO66" s="46"/>
      <c r="CP66" s="46"/>
      <c r="CQ66" s="47"/>
      <c r="CR66" s="22"/>
      <c r="CS66" s="45"/>
      <c r="CT66" s="46"/>
      <c r="CU66" s="46"/>
      <c r="CV66" s="46"/>
      <c r="CW66" s="46"/>
      <c r="CX66" s="46"/>
      <c r="CY66" s="46"/>
      <c r="CZ66" s="46"/>
      <c r="DA66" s="46"/>
      <c r="DB66" s="46"/>
      <c r="DC66" s="46"/>
      <c r="DD66" s="46"/>
      <c r="DE66" s="46"/>
      <c r="DF66" s="46"/>
      <c r="DG66" s="46"/>
      <c r="DH66" s="46"/>
      <c r="DI66" s="47"/>
      <c r="DJ66" s="37"/>
      <c r="DK66" s="22"/>
      <c r="DL66" s="22"/>
      <c r="DM66" s="22"/>
      <c r="DN66" s="24"/>
    </row>
    <row r="67" spans="1:706" ht="4.5" customHeight="1" x14ac:dyDescent="0.15">
      <c r="A67" s="13"/>
      <c r="B67" s="21"/>
      <c r="C67" s="22"/>
      <c r="D67" s="22"/>
      <c r="E67" s="22"/>
      <c r="F67" s="5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53"/>
      <c r="DK67" s="22"/>
      <c r="DL67" s="22"/>
      <c r="DM67" s="22"/>
      <c r="DN67" s="13"/>
      <c r="DO67" s="24"/>
    </row>
    <row r="68" spans="1:706" ht="15" customHeight="1" x14ac:dyDescent="0.15">
      <c r="A68" s="13"/>
      <c r="B68" s="21"/>
      <c r="C68" s="22"/>
      <c r="D68" s="22"/>
      <c r="E68" s="22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  <c r="DA68" s="31"/>
      <c r="DB68" s="31"/>
      <c r="DC68" s="31"/>
      <c r="DD68" s="31"/>
      <c r="DE68" s="31"/>
      <c r="DF68" s="31"/>
      <c r="DG68" s="31"/>
      <c r="DH68" s="31"/>
      <c r="DI68" s="31"/>
      <c r="DJ68" s="31"/>
      <c r="DK68" s="22"/>
      <c r="DL68" s="22"/>
      <c r="DM68" s="22"/>
      <c r="DN68" s="13"/>
      <c r="DO68" s="24"/>
    </row>
    <row r="69" spans="1:706" ht="4.5" customHeight="1" x14ac:dyDescent="0.15">
      <c r="A69" s="13"/>
      <c r="B69" s="21"/>
      <c r="C69" s="22"/>
      <c r="D69" s="22"/>
      <c r="E69" s="22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  <c r="CJ69" s="29"/>
      <c r="CK69" s="29"/>
      <c r="CL69" s="29"/>
      <c r="CM69" s="29"/>
      <c r="CN69" s="29"/>
      <c r="CO69" s="29"/>
      <c r="CP69" s="29"/>
      <c r="CQ69" s="29"/>
      <c r="CR69" s="29"/>
      <c r="CS69" s="29"/>
      <c r="CT69" s="29"/>
      <c r="CU69" s="29"/>
      <c r="CV69" s="29"/>
      <c r="CW69" s="29"/>
      <c r="CX69" s="29"/>
      <c r="CY69" s="29"/>
      <c r="CZ69" s="29"/>
      <c r="DA69" s="29"/>
      <c r="DB69" s="29"/>
      <c r="DC69" s="29"/>
      <c r="DD69" s="29"/>
      <c r="DE69" s="29"/>
      <c r="DF69" s="29"/>
      <c r="DG69" s="29"/>
      <c r="DH69" s="29"/>
      <c r="DI69" s="29"/>
      <c r="DJ69" s="29"/>
      <c r="DK69" s="22"/>
      <c r="DL69" s="22"/>
      <c r="DM69" s="22"/>
      <c r="DN69" s="13"/>
      <c r="DO69" s="24"/>
    </row>
    <row r="70" spans="1:706" ht="15" customHeight="1" x14ac:dyDescent="0.15">
      <c r="A70" s="13"/>
      <c r="B70" s="21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13"/>
      <c r="DO70" s="24"/>
    </row>
    <row r="71" spans="1:706" ht="30" customHeight="1" x14ac:dyDescent="0.15">
      <c r="A71" s="13"/>
      <c r="B71" s="21"/>
      <c r="C71" s="22"/>
      <c r="D71" s="22"/>
      <c r="E71" s="22"/>
      <c r="F71" s="135" t="s">
        <v>25</v>
      </c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  <c r="AF71" s="136"/>
      <c r="AG71" s="136"/>
      <c r="AH71" s="136"/>
      <c r="AI71" s="136"/>
      <c r="AJ71" s="136"/>
      <c r="AK71" s="136"/>
      <c r="AL71" s="136"/>
      <c r="AM71" s="136"/>
      <c r="AN71" s="136"/>
      <c r="AO71" s="136"/>
      <c r="AP71" s="136"/>
      <c r="AQ71" s="136"/>
      <c r="AR71" s="136"/>
      <c r="AS71" s="136"/>
      <c r="AT71" s="136"/>
      <c r="AU71" s="136"/>
      <c r="AV71" s="136"/>
      <c r="AW71" s="136"/>
      <c r="AX71" s="136"/>
      <c r="AY71" s="136"/>
      <c r="AZ71" s="136"/>
      <c r="BA71" s="136"/>
      <c r="BB71" s="136"/>
      <c r="BC71" s="136"/>
      <c r="BD71" s="136"/>
      <c r="BE71" s="136"/>
      <c r="BF71" s="136"/>
      <c r="BG71" s="136"/>
      <c r="BH71" s="136"/>
      <c r="BI71" s="136"/>
      <c r="BJ71" s="136"/>
      <c r="BK71" s="136"/>
      <c r="BL71" s="136"/>
      <c r="BM71" s="136"/>
      <c r="BN71" s="136"/>
      <c r="BO71" s="136"/>
      <c r="BP71" s="136"/>
      <c r="BQ71" s="136"/>
      <c r="BR71" s="136"/>
      <c r="BS71" s="136"/>
      <c r="BT71" s="136"/>
      <c r="BU71" s="136"/>
      <c r="BV71" s="136"/>
      <c r="BW71" s="136"/>
      <c r="BX71" s="136"/>
      <c r="BY71" s="136"/>
      <c r="BZ71" s="136"/>
      <c r="CA71" s="136"/>
      <c r="CB71" s="136"/>
      <c r="CC71" s="136"/>
      <c r="CD71" s="136"/>
      <c r="CE71" s="136"/>
      <c r="CF71" s="136"/>
      <c r="CG71" s="136"/>
      <c r="CH71" s="136"/>
      <c r="CI71" s="136"/>
      <c r="CJ71" s="136"/>
      <c r="CK71" s="136"/>
      <c r="CL71" s="136"/>
      <c r="CM71" s="136"/>
      <c r="CN71" s="136"/>
      <c r="CO71" s="136"/>
      <c r="CP71" s="136"/>
      <c r="CQ71" s="136"/>
      <c r="CR71" s="136"/>
      <c r="CS71" s="136"/>
      <c r="CT71" s="136"/>
      <c r="CU71" s="136"/>
      <c r="CV71" s="136"/>
      <c r="CW71" s="136"/>
      <c r="CX71" s="136"/>
      <c r="CY71" s="136"/>
      <c r="CZ71" s="136"/>
      <c r="DA71" s="136"/>
      <c r="DB71" s="136"/>
      <c r="DC71" s="136"/>
      <c r="DD71" s="136"/>
      <c r="DE71" s="136"/>
      <c r="DF71" s="136"/>
      <c r="DG71" s="136"/>
      <c r="DH71" s="136"/>
      <c r="DI71" s="137"/>
      <c r="DJ71" s="22"/>
      <c r="DK71" s="22"/>
      <c r="DL71" s="22"/>
      <c r="DM71" s="22"/>
      <c r="DN71" s="13"/>
      <c r="DO71" s="24"/>
    </row>
    <row r="72" spans="1:706" ht="15" customHeight="1" x14ac:dyDescent="0.15">
      <c r="A72" s="13"/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13"/>
      <c r="DO72" s="24"/>
    </row>
    <row r="73" spans="1:706" ht="4.5" customHeight="1" x14ac:dyDescent="0.15">
      <c r="A73" s="13"/>
      <c r="B73" s="21"/>
      <c r="C73" s="22"/>
      <c r="D73" s="22"/>
      <c r="E73" s="22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  <c r="CL73" s="29"/>
      <c r="CM73" s="29"/>
      <c r="CN73" s="29"/>
      <c r="CO73" s="29"/>
      <c r="CP73" s="29"/>
      <c r="CQ73" s="29"/>
      <c r="CR73" s="29"/>
      <c r="CS73" s="29"/>
      <c r="CT73" s="29"/>
      <c r="CU73" s="29"/>
      <c r="CV73" s="29"/>
      <c r="CW73" s="29"/>
      <c r="CX73" s="29"/>
      <c r="CY73" s="29"/>
      <c r="CZ73" s="29"/>
      <c r="DA73" s="29"/>
      <c r="DB73" s="29"/>
      <c r="DC73" s="29"/>
      <c r="DD73" s="29"/>
      <c r="DE73" s="29"/>
      <c r="DF73" s="29"/>
      <c r="DG73" s="29"/>
      <c r="DH73" s="29"/>
      <c r="DI73" s="29"/>
      <c r="DJ73" s="29"/>
      <c r="DK73" s="22"/>
      <c r="DL73" s="22"/>
      <c r="DM73" s="22"/>
      <c r="DN73" s="13"/>
      <c r="DO73" s="24"/>
    </row>
    <row r="74" spans="1:706" ht="15" customHeight="1" x14ac:dyDescent="0.15">
      <c r="A74" s="13"/>
      <c r="B74" s="21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13"/>
      <c r="DO74" s="24"/>
    </row>
    <row r="75" spans="1:706" ht="4.5" customHeight="1" x14ac:dyDescent="0.15">
      <c r="A75" s="13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4"/>
    </row>
    <row r="76" spans="1:706" ht="4.5" customHeight="1" x14ac:dyDescent="0.9">
      <c r="A76" s="54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  <c r="BD76" s="55"/>
      <c r="BE76" s="55"/>
      <c r="BF76" s="55"/>
      <c r="BG76" s="55"/>
      <c r="BH76" s="55"/>
      <c r="BI76" s="55"/>
      <c r="BJ76" s="55"/>
      <c r="BK76" s="55"/>
      <c r="BL76" s="55"/>
      <c r="BM76" s="55"/>
      <c r="BN76" s="55"/>
      <c r="BO76" s="55"/>
      <c r="BP76" s="55"/>
      <c r="BQ76" s="55"/>
      <c r="BR76" s="55"/>
      <c r="BS76" s="55"/>
      <c r="BT76" s="55"/>
      <c r="BU76" s="55"/>
      <c r="BV76" s="55"/>
      <c r="BW76" s="55"/>
      <c r="BX76" s="55"/>
      <c r="BY76" s="55"/>
      <c r="BZ76" s="55"/>
      <c r="CA76" s="55"/>
      <c r="CB76" s="55"/>
      <c r="CC76" s="55"/>
      <c r="CD76" s="55"/>
      <c r="CE76" s="55"/>
      <c r="CF76" s="55"/>
      <c r="CG76" s="55"/>
      <c r="CH76" s="55"/>
      <c r="CI76" s="55"/>
      <c r="CJ76" s="55"/>
      <c r="CK76" s="55"/>
      <c r="CL76" s="55"/>
      <c r="CM76" s="55"/>
      <c r="CN76" s="55"/>
      <c r="CO76" s="55"/>
      <c r="CP76" s="55"/>
      <c r="CQ76" s="55"/>
      <c r="CR76" s="55"/>
      <c r="CS76" s="55"/>
      <c r="CT76" s="55"/>
      <c r="CU76" s="55"/>
      <c r="CV76" s="55"/>
      <c r="CW76" s="55"/>
      <c r="CX76" s="55"/>
      <c r="CY76" s="55"/>
      <c r="CZ76" s="55"/>
      <c r="DA76" s="55"/>
      <c r="DB76" s="55"/>
      <c r="DC76" s="55"/>
      <c r="DD76" s="55"/>
      <c r="DE76" s="55"/>
      <c r="DF76" s="55"/>
      <c r="DG76" s="55"/>
      <c r="DH76" s="55"/>
      <c r="DI76" s="55"/>
      <c r="DJ76" s="55"/>
      <c r="DK76" s="55"/>
      <c r="DL76" s="55"/>
      <c r="DM76" s="55"/>
      <c r="DN76" s="56"/>
      <c r="DO76" s="4"/>
      <c r="DP76" s="54"/>
      <c r="DQ76" s="54"/>
      <c r="DR76" s="54"/>
      <c r="DS76" s="54"/>
      <c r="DT76" s="54"/>
      <c r="DU76" s="54"/>
      <c r="DV76" s="54"/>
      <c r="DW76" s="54"/>
      <c r="DX76" s="54"/>
      <c r="DY76" s="54"/>
      <c r="DZ76" s="54"/>
      <c r="EA76" s="54"/>
      <c r="EB76" s="54"/>
      <c r="EC76" s="54"/>
      <c r="ED76" s="54"/>
      <c r="EE76" s="54"/>
      <c r="EF76" s="54"/>
      <c r="EG76" s="54"/>
      <c r="EH76" s="54"/>
      <c r="EI76" s="54"/>
      <c r="EJ76" s="54"/>
      <c r="EK76" s="54"/>
      <c r="EL76" s="54"/>
      <c r="EM76" s="54"/>
      <c r="EN76" s="54"/>
      <c r="EO76" s="54"/>
      <c r="EP76" s="54"/>
      <c r="EQ76" s="54"/>
      <c r="ER76" s="54"/>
      <c r="ES76" s="54"/>
      <c r="ET76" s="54"/>
      <c r="EU76" s="54"/>
      <c r="EV76" s="54"/>
      <c r="EW76" s="54"/>
      <c r="EX76" s="54"/>
      <c r="EY76" s="54"/>
      <c r="EZ76" s="54"/>
      <c r="FA76" s="54"/>
      <c r="FB76" s="54"/>
      <c r="FC76" s="54"/>
      <c r="FD76" s="54"/>
      <c r="FE76" s="54"/>
      <c r="FF76" s="54"/>
      <c r="FG76" s="54"/>
      <c r="FH76" s="54"/>
      <c r="FI76" s="54"/>
      <c r="FJ76" s="54"/>
      <c r="FK76" s="54"/>
      <c r="FL76" s="54"/>
      <c r="FM76" s="54"/>
      <c r="FN76" s="54"/>
      <c r="FO76" s="54"/>
      <c r="FP76" s="54"/>
      <c r="FQ76" s="54"/>
      <c r="FR76" s="54"/>
      <c r="FS76" s="54"/>
      <c r="FT76" s="54"/>
      <c r="FU76" s="54"/>
      <c r="FV76" s="54"/>
      <c r="FW76" s="54"/>
      <c r="FX76" s="54"/>
      <c r="FY76" s="54"/>
      <c r="FZ76" s="54"/>
      <c r="GA76" s="54"/>
      <c r="GB76" s="54"/>
      <c r="GC76" s="54"/>
      <c r="GD76" s="54"/>
      <c r="GE76" s="54"/>
      <c r="GF76" s="54"/>
      <c r="GG76" s="54"/>
      <c r="GH76" s="54"/>
      <c r="GI76" s="54"/>
      <c r="GJ76" s="54"/>
      <c r="GK76" s="54"/>
      <c r="GL76" s="54"/>
      <c r="GM76" s="54"/>
      <c r="GN76" s="54"/>
      <c r="GO76" s="54"/>
      <c r="GP76" s="54"/>
      <c r="GQ76" s="54"/>
      <c r="GR76" s="54"/>
      <c r="GS76" s="54"/>
      <c r="GT76" s="54"/>
      <c r="GU76" s="54"/>
      <c r="GV76" s="54"/>
      <c r="GW76" s="54"/>
      <c r="GX76" s="54"/>
      <c r="GY76" s="54"/>
      <c r="GZ76" s="54"/>
      <c r="HA76" s="54"/>
      <c r="HB76" s="54"/>
      <c r="HC76" s="54"/>
      <c r="HD76" s="54"/>
      <c r="HE76" s="54"/>
      <c r="HF76" s="54"/>
      <c r="HG76" s="54"/>
      <c r="HH76" s="54"/>
      <c r="HI76" s="54"/>
      <c r="HJ76" s="54"/>
      <c r="HK76" s="54"/>
      <c r="HL76" s="54"/>
      <c r="HM76" s="54"/>
      <c r="HN76" s="54"/>
      <c r="HO76" s="54"/>
      <c r="HP76" s="54"/>
      <c r="HQ76" s="54"/>
      <c r="HR76" s="54"/>
      <c r="HS76" s="54"/>
      <c r="HT76" s="54"/>
      <c r="HU76" s="54"/>
      <c r="HV76" s="54"/>
      <c r="HW76" s="54"/>
      <c r="HX76" s="54"/>
      <c r="HY76" s="54"/>
      <c r="HZ76" s="54"/>
      <c r="IA76" s="54"/>
      <c r="IB76" s="54"/>
      <c r="IC76" s="54"/>
      <c r="ID76" s="54"/>
      <c r="IE76" s="54"/>
      <c r="IF76" s="54"/>
      <c r="IG76" s="54"/>
      <c r="IH76" s="54"/>
      <c r="II76" s="54"/>
      <c r="IJ76" s="54"/>
      <c r="IK76" s="54"/>
      <c r="IL76" s="54"/>
      <c r="IM76" s="54"/>
      <c r="IN76" s="54"/>
      <c r="IO76" s="54"/>
      <c r="IP76" s="54"/>
      <c r="IQ76" s="54"/>
      <c r="IR76" s="54"/>
      <c r="IS76" s="54"/>
      <c r="IT76" s="54"/>
      <c r="IU76" s="54"/>
      <c r="IV76" s="54"/>
      <c r="IW76" s="54"/>
      <c r="IX76" s="54"/>
      <c r="IY76" s="54"/>
      <c r="IZ76" s="54"/>
      <c r="JA76" s="54"/>
      <c r="JB76" s="54"/>
      <c r="JC76" s="54"/>
      <c r="JD76" s="54"/>
      <c r="JE76" s="54"/>
      <c r="JF76" s="54"/>
      <c r="JG76" s="54"/>
      <c r="JH76" s="54"/>
      <c r="JI76" s="54"/>
      <c r="JJ76" s="54"/>
      <c r="JK76" s="54"/>
      <c r="JL76" s="54"/>
      <c r="JM76" s="54"/>
      <c r="JN76" s="54"/>
      <c r="JO76" s="54"/>
      <c r="JP76" s="54"/>
      <c r="JQ76" s="54"/>
      <c r="JR76" s="54"/>
      <c r="JS76" s="54"/>
      <c r="JT76" s="54"/>
      <c r="JU76" s="54"/>
      <c r="JV76" s="54"/>
      <c r="JW76" s="54"/>
      <c r="JX76" s="54"/>
      <c r="JY76" s="54"/>
      <c r="JZ76" s="54"/>
      <c r="KA76" s="54"/>
      <c r="KB76" s="54"/>
      <c r="KC76" s="54"/>
      <c r="KD76" s="54"/>
      <c r="KE76" s="54"/>
      <c r="KF76" s="54"/>
      <c r="KG76" s="54"/>
      <c r="KH76" s="54"/>
      <c r="KI76" s="54"/>
      <c r="KJ76" s="54"/>
      <c r="KK76" s="54"/>
      <c r="KL76" s="54"/>
      <c r="KM76" s="54"/>
      <c r="KN76" s="54"/>
      <c r="KO76" s="54"/>
      <c r="KP76" s="54"/>
      <c r="KQ76" s="54"/>
      <c r="KR76" s="54"/>
      <c r="KS76" s="54"/>
      <c r="KT76" s="54"/>
      <c r="KU76" s="54"/>
      <c r="KV76" s="54"/>
      <c r="KW76" s="54"/>
      <c r="KX76" s="54"/>
      <c r="KY76" s="54"/>
      <c r="KZ76" s="54"/>
      <c r="LA76" s="54"/>
      <c r="LB76" s="54"/>
      <c r="LC76" s="54"/>
      <c r="LD76" s="54"/>
      <c r="LE76" s="54"/>
      <c r="LF76" s="54"/>
      <c r="LG76" s="54"/>
      <c r="LH76" s="54"/>
      <c r="LI76" s="54"/>
      <c r="LJ76" s="54"/>
      <c r="LK76" s="54"/>
      <c r="LL76" s="54"/>
      <c r="LM76" s="54"/>
      <c r="LN76" s="54"/>
      <c r="LO76" s="54"/>
      <c r="LP76" s="54"/>
      <c r="LQ76" s="54"/>
      <c r="LR76" s="54"/>
      <c r="LS76" s="54"/>
      <c r="LT76" s="54"/>
      <c r="LU76" s="54"/>
      <c r="LV76" s="54"/>
      <c r="LW76" s="54"/>
      <c r="LX76" s="54"/>
      <c r="LY76" s="54"/>
      <c r="LZ76" s="54"/>
      <c r="MA76" s="54"/>
      <c r="MB76" s="54"/>
      <c r="MC76" s="54"/>
      <c r="MD76" s="54"/>
      <c r="ME76" s="54"/>
      <c r="MF76" s="54"/>
      <c r="MG76" s="54"/>
      <c r="MH76" s="54"/>
      <c r="MI76" s="54"/>
      <c r="MJ76" s="54"/>
      <c r="MK76" s="54"/>
      <c r="ML76" s="54"/>
      <c r="MM76" s="54"/>
      <c r="MN76" s="54"/>
      <c r="MO76" s="54"/>
      <c r="MP76" s="54"/>
      <c r="MQ76" s="54"/>
      <c r="MR76" s="54"/>
      <c r="MS76" s="54"/>
      <c r="MT76" s="54"/>
      <c r="MU76" s="54"/>
      <c r="MV76" s="54"/>
      <c r="MW76" s="54"/>
      <c r="MX76" s="54"/>
      <c r="MY76" s="54"/>
      <c r="MZ76" s="54"/>
      <c r="NA76" s="54"/>
      <c r="NB76" s="54"/>
      <c r="NC76" s="54"/>
      <c r="ND76" s="54"/>
      <c r="NE76" s="54"/>
      <c r="NF76" s="54"/>
      <c r="NG76" s="54"/>
      <c r="NH76" s="54"/>
      <c r="NI76" s="54"/>
      <c r="NJ76" s="54"/>
      <c r="NK76" s="54"/>
      <c r="NL76" s="54"/>
      <c r="NM76" s="54"/>
      <c r="NN76" s="54"/>
      <c r="NO76" s="54"/>
      <c r="NP76" s="54"/>
      <c r="NQ76" s="54"/>
      <c r="NR76" s="54"/>
      <c r="NS76" s="54"/>
      <c r="NT76" s="54"/>
      <c r="NU76" s="54"/>
      <c r="NV76" s="54"/>
      <c r="NW76" s="54"/>
      <c r="NX76" s="54"/>
      <c r="NY76" s="54"/>
      <c r="NZ76" s="54"/>
      <c r="OA76" s="54"/>
      <c r="OB76" s="54"/>
      <c r="OC76" s="54"/>
      <c r="OD76" s="54"/>
      <c r="OE76" s="54"/>
      <c r="OF76" s="54"/>
      <c r="OG76" s="54"/>
      <c r="OH76" s="54"/>
      <c r="OI76" s="54"/>
      <c r="OJ76" s="54"/>
      <c r="OK76" s="54"/>
      <c r="OL76" s="54"/>
      <c r="OM76" s="54"/>
      <c r="ON76" s="54"/>
      <c r="OO76" s="54"/>
      <c r="OP76" s="54"/>
      <c r="OQ76" s="54"/>
      <c r="OR76" s="54"/>
      <c r="OS76" s="54"/>
      <c r="OT76" s="54"/>
      <c r="OU76" s="54"/>
      <c r="OV76" s="54"/>
      <c r="OW76" s="54"/>
      <c r="OX76" s="54"/>
      <c r="OY76" s="54"/>
      <c r="OZ76" s="54"/>
      <c r="PA76" s="54"/>
      <c r="PB76" s="54"/>
      <c r="PC76" s="54"/>
      <c r="PD76" s="54"/>
      <c r="PE76" s="54"/>
      <c r="PF76" s="54"/>
      <c r="PG76" s="54"/>
      <c r="PH76" s="54"/>
      <c r="PI76" s="54"/>
      <c r="PJ76" s="54"/>
      <c r="PK76" s="54"/>
      <c r="PL76" s="54"/>
      <c r="PM76" s="54"/>
      <c r="PN76" s="54"/>
      <c r="PO76" s="54"/>
      <c r="PP76" s="54"/>
      <c r="PQ76" s="54"/>
      <c r="PR76" s="54"/>
      <c r="PS76" s="54"/>
      <c r="PT76" s="54"/>
      <c r="PU76" s="54"/>
      <c r="PV76" s="54"/>
      <c r="PW76" s="54"/>
      <c r="PX76" s="54"/>
      <c r="PY76" s="54"/>
      <c r="PZ76" s="54"/>
      <c r="QA76" s="54"/>
      <c r="QB76" s="54"/>
      <c r="QC76" s="54"/>
      <c r="QD76" s="54"/>
      <c r="QE76" s="54"/>
      <c r="QF76" s="54"/>
      <c r="QG76" s="54"/>
      <c r="QH76" s="54"/>
      <c r="QI76" s="54"/>
      <c r="QJ76" s="54"/>
      <c r="QK76" s="54"/>
      <c r="QL76" s="54"/>
      <c r="QM76" s="54"/>
      <c r="QN76" s="54"/>
      <c r="QO76" s="54"/>
      <c r="QP76" s="54"/>
      <c r="QQ76" s="54"/>
      <c r="QR76" s="54"/>
      <c r="QS76" s="54"/>
      <c r="QT76" s="54"/>
      <c r="QU76" s="54"/>
      <c r="QV76" s="54"/>
      <c r="QW76" s="54"/>
      <c r="QX76" s="54"/>
      <c r="QY76" s="54"/>
      <c r="QZ76" s="54"/>
      <c r="RA76" s="54"/>
      <c r="RB76" s="54"/>
      <c r="RC76" s="54"/>
      <c r="RD76" s="54"/>
      <c r="RE76" s="54"/>
      <c r="RF76" s="54"/>
      <c r="RG76" s="54"/>
      <c r="RH76" s="54"/>
      <c r="RI76" s="54"/>
      <c r="RJ76" s="54"/>
      <c r="RK76" s="54"/>
      <c r="RL76" s="54"/>
      <c r="RM76" s="54"/>
      <c r="RN76" s="54"/>
      <c r="RO76" s="54"/>
      <c r="RP76" s="54"/>
      <c r="RQ76" s="54"/>
      <c r="RR76" s="54"/>
      <c r="RS76" s="54"/>
      <c r="RT76" s="54"/>
      <c r="RU76" s="54"/>
      <c r="RV76" s="54"/>
      <c r="RW76" s="54"/>
      <c r="RX76" s="54"/>
      <c r="RY76" s="54"/>
      <c r="RZ76" s="54"/>
      <c r="SA76" s="54"/>
      <c r="SB76" s="54"/>
      <c r="SC76" s="54"/>
      <c r="SD76" s="54"/>
      <c r="SE76" s="54"/>
      <c r="SF76" s="54"/>
      <c r="SG76" s="54"/>
      <c r="SH76" s="54"/>
      <c r="SI76" s="54"/>
      <c r="SJ76" s="54"/>
      <c r="SK76" s="54"/>
      <c r="SL76" s="54"/>
      <c r="SM76" s="54"/>
      <c r="SN76" s="54"/>
      <c r="SO76" s="54"/>
      <c r="SP76" s="54"/>
      <c r="SQ76" s="54"/>
      <c r="SR76" s="54"/>
      <c r="SS76" s="54"/>
      <c r="ST76" s="54"/>
      <c r="SU76" s="54"/>
      <c r="SV76" s="54"/>
      <c r="SW76" s="54"/>
      <c r="SX76" s="54"/>
      <c r="SY76" s="54"/>
      <c r="SZ76" s="54"/>
      <c r="TA76" s="54"/>
      <c r="TB76" s="54"/>
      <c r="TC76" s="54"/>
      <c r="TD76" s="54"/>
      <c r="TE76" s="54"/>
      <c r="TF76" s="54"/>
      <c r="TG76" s="54"/>
      <c r="TH76" s="54"/>
      <c r="TI76" s="54"/>
      <c r="TJ76" s="54"/>
      <c r="TK76" s="54"/>
      <c r="TL76" s="54"/>
      <c r="TM76" s="54"/>
      <c r="TN76" s="54"/>
      <c r="TO76" s="54"/>
      <c r="TP76" s="54"/>
      <c r="TQ76" s="54"/>
      <c r="TR76" s="54"/>
      <c r="TS76" s="54"/>
      <c r="TT76" s="54"/>
      <c r="TU76" s="54"/>
      <c r="TV76" s="54"/>
      <c r="TW76" s="54"/>
      <c r="TX76" s="54"/>
      <c r="TY76" s="54"/>
      <c r="TZ76" s="54"/>
      <c r="UA76" s="54"/>
      <c r="UB76" s="54"/>
      <c r="UC76" s="54"/>
      <c r="UD76" s="54"/>
      <c r="UE76" s="54"/>
      <c r="UF76" s="54"/>
      <c r="UG76" s="54"/>
      <c r="UH76" s="54"/>
      <c r="UI76" s="54"/>
      <c r="UJ76" s="54"/>
      <c r="UK76" s="54"/>
      <c r="UL76" s="54"/>
      <c r="UM76" s="54"/>
      <c r="UN76" s="54"/>
      <c r="UO76" s="54"/>
      <c r="UP76" s="54"/>
      <c r="UQ76" s="54"/>
      <c r="UR76" s="54"/>
      <c r="US76" s="54"/>
      <c r="UT76" s="54"/>
      <c r="UU76" s="54"/>
      <c r="UV76" s="54"/>
      <c r="UW76" s="54"/>
      <c r="UX76" s="54"/>
      <c r="UY76" s="54"/>
      <c r="UZ76" s="54"/>
      <c r="VA76" s="54"/>
      <c r="VB76" s="54"/>
      <c r="VC76" s="54"/>
      <c r="VD76" s="54"/>
      <c r="VE76" s="54"/>
      <c r="VF76" s="54"/>
      <c r="VG76" s="54"/>
      <c r="VH76" s="54"/>
      <c r="VI76" s="54"/>
      <c r="VJ76" s="54"/>
      <c r="VK76" s="54"/>
      <c r="VL76" s="54"/>
      <c r="VM76" s="54"/>
      <c r="VN76" s="54"/>
      <c r="VO76" s="54"/>
      <c r="VP76" s="54"/>
      <c r="VQ76" s="54"/>
      <c r="VR76" s="54"/>
      <c r="VS76" s="54"/>
      <c r="VT76" s="54"/>
      <c r="VU76" s="54"/>
      <c r="VV76" s="54"/>
      <c r="VW76" s="54"/>
      <c r="VX76" s="54"/>
      <c r="VY76" s="54"/>
      <c r="VZ76" s="54"/>
      <c r="WA76" s="54"/>
      <c r="WB76" s="54"/>
      <c r="WC76" s="54"/>
      <c r="WD76" s="54"/>
      <c r="WE76" s="54"/>
      <c r="WF76" s="54"/>
      <c r="WG76" s="54"/>
      <c r="WH76" s="54"/>
      <c r="WI76" s="54"/>
      <c r="WJ76" s="54"/>
      <c r="WK76" s="54"/>
      <c r="WL76" s="54"/>
      <c r="WM76" s="54"/>
      <c r="WN76" s="54"/>
      <c r="WO76" s="54"/>
      <c r="WP76" s="54"/>
      <c r="WQ76" s="54"/>
      <c r="WR76" s="54"/>
      <c r="WS76" s="54"/>
      <c r="WT76" s="54"/>
      <c r="WU76" s="54"/>
      <c r="WV76" s="54"/>
      <c r="WW76" s="54"/>
      <c r="WX76" s="54"/>
      <c r="WY76" s="54"/>
      <c r="WZ76" s="54"/>
      <c r="XA76" s="54"/>
      <c r="XB76" s="54"/>
      <c r="XC76" s="54"/>
      <c r="XD76" s="54"/>
      <c r="XE76" s="54"/>
      <c r="XF76" s="54"/>
      <c r="XG76" s="54"/>
      <c r="XH76" s="54"/>
      <c r="XI76" s="54"/>
      <c r="XJ76" s="54"/>
      <c r="XK76" s="54"/>
      <c r="XL76" s="54"/>
      <c r="XM76" s="54"/>
      <c r="XN76" s="54"/>
      <c r="XO76" s="54"/>
      <c r="XP76" s="54"/>
      <c r="XQ76" s="54"/>
      <c r="XR76" s="54"/>
      <c r="XS76" s="54"/>
      <c r="XT76" s="54"/>
      <c r="XU76" s="54"/>
      <c r="XV76" s="54"/>
      <c r="XW76" s="54"/>
      <c r="XX76" s="54"/>
      <c r="XY76" s="54"/>
      <c r="XZ76" s="54"/>
      <c r="YA76" s="54"/>
      <c r="YB76" s="54"/>
      <c r="YC76" s="54"/>
      <c r="YD76" s="54"/>
      <c r="YE76" s="54"/>
      <c r="YF76" s="54"/>
      <c r="YG76" s="54"/>
      <c r="YH76" s="54"/>
      <c r="YI76" s="54"/>
      <c r="YJ76" s="54"/>
      <c r="YK76" s="54"/>
      <c r="YL76" s="54"/>
      <c r="YM76" s="54"/>
      <c r="YN76" s="54"/>
      <c r="YO76" s="54"/>
      <c r="YP76" s="54"/>
      <c r="YQ76" s="54"/>
      <c r="YR76" s="54"/>
      <c r="YS76" s="54"/>
      <c r="YT76" s="54"/>
      <c r="YU76" s="54"/>
      <c r="YV76" s="54"/>
      <c r="YW76" s="54"/>
      <c r="YX76" s="54"/>
      <c r="YY76" s="54"/>
      <c r="YZ76" s="54"/>
      <c r="ZA76" s="54"/>
      <c r="ZB76" s="54"/>
      <c r="ZC76" s="54"/>
      <c r="ZD76" s="54"/>
      <c r="ZE76" s="54"/>
      <c r="ZF76" s="54"/>
      <c r="ZG76" s="54"/>
      <c r="ZH76" s="54"/>
      <c r="ZI76" s="54"/>
      <c r="ZJ76" s="54"/>
      <c r="ZK76" s="54"/>
      <c r="ZL76" s="54"/>
      <c r="ZM76" s="54"/>
      <c r="ZN76" s="54"/>
      <c r="ZO76" s="54"/>
      <c r="ZP76" s="54"/>
      <c r="ZQ76" s="54"/>
      <c r="ZR76" s="54"/>
      <c r="ZS76" s="54"/>
      <c r="ZT76" s="54"/>
      <c r="ZU76" s="54"/>
      <c r="ZV76" s="54"/>
      <c r="ZW76" s="54"/>
      <c r="ZX76" s="54"/>
      <c r="ZY76" s="54"/>
      <c r="ZZ76" s="54"/>
      <c r="AAA76" s="54"/>
      <c r="AAB76" s="54"/>
      <c r="AAC76" s="54"/>
      <c r="AAD76" s="54"/>
    </row>
    <row r="77" spans="1:706" ht="15" customHeight="1" x14ac:dyDescent="0.15">
      <c r="A77" s="4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4"/>
      <c r="JS77" s="4"/>
      <c r="JT77" s="4"/>
      <c r="JU77" s="4"/>
      <c r="JV77" s="4"/>
      <c r="JW77" s="4"/>
      <c r="JX77" s="4"/>
      <c r="JY77" s="4"/>
      <c r="JZ77" s="4"/>
      <c r="KA77" s="4"/>
      <c r="KB77" s="4"/>
      <c r="KC77" s="4"/>
      <c r="KD77" s="4"/>
      <c r="KE77" s="4"/>
      <c r="KF77" s="4"/>
      <c r="KG77" s="4"/>
      <c r="KH77" s="4"/>
      <c r="KI77" s="4"/>
      <c r="KJ77" s="4"/>
      <c r="KK77" s="4"/>
      <c r="KL77" s="4"/>
      <c r="KM77" s="4"/>
      <c r="KN77" s="4"/>
      <c r="KO77" s="4"/>
      <c r="KP77" s="4"/>
      <c r="KQ77" s="4"/>
      <c r="KR77" s="4"/>
      <c r="KS77" s="4"/>
      <c r="KT77" s="4"/>
      <c r="KU77" s="4"/>
      <c r="KV77" s="4"/>
      <c r="KW77" s="4"/>
      <c r="KX77" s="4"/>
      <c r="KY77" s="4"/>
      <c r="KZ77" s="4"/>
      <c r="LA77" s="4"/>
      <c r="LB77" s="4"/>
      <c r="LC77" s="4"/>
      <c r="LD77" s="4"/>
      <c r="LE77" s="4"/>
      <c r="LF77" s="4"/>
      <c r="LG77" s="4"/>
      <c r="LH77" s="4"/>
      <c r="LI77" s="4"/>
      <c r="LJ77" s="4"/>
      <c r="LK77" s="4"/>
      <c r="LL77" s="4"/>
      <c r="LM77" s="4"/>
      <c r="LN77" s="4"/>
      <c r="LO77" s="4"/>
      <c r="LP77" s="4"/>
      <c r="LQ77" s="4"/>
      <c r="LR77" s="4"/>
      <c r="LS77" s="4"/>
      <c r="LT77" s="4"/>
      <c r="LU77" s="4"/>
      <c r="LV77" s="4"/>
      <c r="LW77" s="4"/>
      <c r="LX77" s="4"/>
      <c r="LY77" s="4"/>
      <c r="LZ77" s="4"/>
      <c r="MA77" s="4"/>
      <c r="MB77" s="4"/>
      <c r="MC77" s="4"/>
      <c r="MD77" s="4"/>
      <c r="ME77" s="4"/>
      <c r="MF77" s="4"/>
      <c r="MG77" s="4"/>
      <c r="MH77" s="4"/>
      <c r="MI77" s="4"/>
      <c r="MJ77" s="4"/>
      <c r="MK77" s="4"/>
      <c r="ML77" s="4"/>
      <c r="MM77" s="4"/>
      <c r="MN77" s="4"/>
      <c r="MO77" s="4"/>
      <c r="MP77" s="4"/>
      <c r="MQ77" s="4"/>
      <c r="MR77" s="4"/>
      <c r="MS77" s="4"/>
      <c r="MT77" s="4"/>
      <c r="MU77" s="4"/>
      <c r="MV77" s="4"/>
      <c r="MW77" s="4"/>
      <c r="MX77" s="4"/>
      <c r="MY77" s="4"/>
      <c r="MZ77" s="4"/>
      <c r="NA77" s="4"/>
      <c r="NB77" s="4"/>
      <c r="NC77" s="4"/>
      <c r="ND77" s="4"/>
      <c r="NE77" s="4"/>
      <c r="NF77" s="4"/>
      <c r="NG77" s="4"/>
      <c r="NH77" s="4"/>
      <c r="NI77" s="4"/>
      <c r="NJ77" s="4"/>
      <c r="NK77" s="4"/>
      <c r="NL77" s="4"/>
      <c r="NM77" s="4"/>
      <c r="NN77" s="4"/>
      <c r="NO77" s="4"/>
      <c r="NP77" s="4"/>
      <c r="NQ77" s="4"/>
      <c r="NR77" s="4"/>
      <c r="NS77" s="4"/>
      <c r="NT77" s="4"/>
      <c r="NU77" s="4"/>
      <c r="NV77" s="4"/>
      <c r="NW77" s="4"/>
      <c r="NX77" s="4"/>
      <c r="NY77" s="4"/>
      <c r="NZ77" s="4"/>
      <c r="OA77" s="4"/>
      <c r="OB77" s="4"/>
      <c r="OC77" s="4"/>
      <c r="OD77" s="4"/>
      <c r="OE77" s="4"/>
      <c r="OF77" s="4"/>
      <c r="OG77" s="4"/>
      <c r="OH77" s="4"/>
      <c r="OI77" s="4"/>
      <c r="OJ77" s="4"/>
      <c r="OK77" s="4"/>
      <c r="OL77" s="4"/>
      <c r="OM77" s="4"/>
      <c r="ON77" s="4"/>
      <c r="OO77" s="4"/>
      <c r="OP77" s="4"/>
      <c r="OQ77" s="4"/>
      <c r="OR77" s="4"/>
      <c r="OS77" s="4"/>
      <c r="OT77" s="4"/>
      <c r="OU77" s="4"/>
      <c r="OV77" s="4"/>
      <c r="OW77" s="4"/>
      <c r="OX77" s="4"/>
      <c r="OY77" s="4"/>
      <c r="OZ77" s="4"/>
      <c r="PA77" s="4"/>
      <c r="PB77" s="4"/>
      <c r="PC77" s="4"/>
      <c r="PD77" s="4"/>
      <c r="PE77" s="4"/>
      <c r="PF77" s="4"/>
      <c r="PG77" s="4"/>
      <c r="PH77" s="4"/>
      <c r="PI77" s="4"/>
      <c r="PJ77" s="4"/>
      <c r="PK77" s="4"/>
      <c r="PL77" s="4"/>
      <c r="PM77" s="4"/>
      <c r="PN77" s="4"/>
      <c r="PO77" s="4"/>
      <c r="PP77" s="4"/>
      <c r="PQ77" s="4"/>
      <c r="PR77" s="4"/>
      <c r="PS77" s="4"/>
      <c r="PT77" s="4"/>
      <c r="PU77" s="4"/>
      <c r="PV77" s="4"/>
      <c r="PW77" s="4"/>
      <c r="PX77" s="4"/>
      <c r="PY77" s="4"/>
      <c r="PZ77" s="4"/>
      <c r="QA77" s="4"/>
      <c r="QB77" s="4"/>
      <c r="QC77" s="4"/>
      <c r="QD77" s="4"/>
      <c r="QE77" s="4"/>
      <c r="QF77" s="4"/>
      <c r="QG77" s="4"/>
      <c r="QH77" s="4"/>
      <c r="QI77" s="4"/>
      <c r="QJ77" s="4"/>
      <c r="QK77" s="4"/>
      <c r="QL77" s="4"/>
      <c r="QM77" s="4"/>
      <c r="QN77" s="4"/>
      <c r="QO77" s="4"/>
      <c r="QP77" s="4"/>
      <c r="QQ77" s="4"/>
      <c r="QR77" s="4"/>
      <c r="QS77" s="4"/>
      <c r="QT77" s="4"/>
      <c r="QU77" s="4"/>
      <c r="QV77" s="4"/>
      <c r="QW77" s="4"/>
      <c r="QX77" s="4"/>
      <c r="QY77" s="4"/>
      <c r="QZ77" s="4"/>
      <c r="RA77" s="4"/>
      <c r="RB77" s="4"/>
      <c r="RC77" s="4"/>
      <c r="RD77" s="4"/>
      <c r="RE77" s="4"/>
      <c r="RF77" s="4"/>
      <c r="RG77" s="4"/>
      <c r="RH77" s="4"/>
      <c r="RI77" s="4"/>
      <c r="RJ77" s="4"/>
      <c r="RK77" s="4"/>
      <c r="RL77" s="4"/>
      <c r="RM77" s="4"/>
      <c r="RN77" s="4"/>
      <c r="RO77" s="4"/>
      <c r="RP77" s="4"/>
      <c r="RQ77" s="4"/>
      <c r="RR77" s="4"/>
      <c r="RS77" s="4"/>
      <c r="RT77" s="4"/>
      <c r="RU77" s="4"/>
      <c r="RV77" s="4"/>
      <c r="RW77" s="4"/>
      <c r="RX77" s="4"/>
      <c r="RY77" s="4"/>
      <c r="RZ77" s="4"/>
      <c r="SA77" s="4"/>
      <c r="SB77" s="4"/>
      <c r="SC77" s="4"/>
      <c r="SD77" s="4"/>
      <c r="SE77" s="4"/>
      <c r="SF77" s="4"/>
      <c r="SG77" s="4"/>
      <c r="SH77" s="4"/>
      <c r="SI77" s="4"/>
      <c r="SJ77" s="4"/>
      <c r="SK77" s="4"/>
      <c r="SL77" s="4"/>
      <c r="SM77" s="4"/>
      <c r="SN77" s="4"/>
      <c r="SO77" s="4"/>
      <c r="SP77" s="4"/>
      <c r="SQ77" s="4"/>
      <c r="SR77" s="4"/>
      <c r="SS77" s="4"/>
      <c r="ST77" s="4"/>
      <c r="SU77" s="4"/>
      <c r="SV77" s="4"/>
      <c r="SW77" s="4"/>
      <c r="SX77" s="4"/>
      <c r="SY77" s="4"/>
      <c r="SZ77" s="4"/>
      <c r="TA77" s="4"/>
      <c r="TB77" s="4"/>
      <c r="TC77" s="4"/>
      <c r="TD77" s="4"/>
      <c r="TE77" s="4"/>
      <c r="TF77" s="4"/>
      <c r="TG77" s="4"/>
      <c r="TH77" s="4"/>
      <c r="TI77" s="4"/>
      <c r="TJ77" s="4"/>
      <c r="TK77" s="4"/>
      <c r="TL77" s="4"/>
      <c r="TM77" s="4"/>
      <c r="TN77" s="4"/>
      <c r="TO77" s="4"/>
      <c r="TP77" s="4"/>
      <c r="TQ77" s="4"/>
      <c r="TR77" s="4"/>
      <c r="TS77" s="4"/>
      <c r="TT77" s="4"/>
      <c r="TU77" s="4"/>
      <c r="TV77" s="4"/>
      <c r="TW77" s="4"/>
      <c r="TX77" s="4"/>
      <c r="TY77" s="4"/>
      <c r="TZ77" s="4"/>
      <c r="UA77" s="4"/>
      <c r="UB77" s="4"/>
      <c r="UC77" s="4"/>
      <c r="UD77" s="4"/>
      <c r="UE77" s="4"/>
      <c r="UF77" s="4"/>
      <c r="UG77" s="4"/>
      <c r="UH77" s="4"/>
      <c r="UI77" s="4"/>
      <c r="UJ77" s="4"/>
      <c r="UK77" s="4"/>
      <c r="UL77" s="4"/>
      <c r="UM77" s="4"/>
      <c r="UN77" s="4"/>
      <c r="UO77" s="4"/>
      <c r="UP77" s="4"/>
      <c r="UQ77" s="4"/>
      <c r="UR77" s="4"/>
      <c r="US77" s="4"/>
      <c r="UT77" s="4"/>
      <c r="UU77" s="4"/>
      <c r="UV77" s="4"/>
      <c r="UW77" s="4"/>
      <c r="UX77" s="4"/>
      <c r="UY77" s="4"/>
      <c r="UZ77" s="4"/>
      <c r="VA77" s="4"/>
      <c r="VB77" s="4"/>
      <c r="VC77" s="4"/>
      <c r="VD77" s="4"/>
      <c r="VE77" s="4"/>
      <c r="VF77" s="4"/>
      <c r="VG77" s="4"/>
      <c r="VH77" s="4"/>
      <c r="VI77" s="4"/>
      <c r="VJ77" s="4"/>
      <c r="VK77" s="4"/>
      <c r="VL77" s="4"/>
      <c r="VM77" s="4"/>
      <c r="VN77" s="4"/>
      <c r="VO77" s="4"/>
      <c r="VP77" s="4"/>
      <c r="VQ77" s="4"/>
      <c r="VR77" s="4"/>
      <c r="VS77" s="4"/>
      <c r="VT77" s="4"/>
      <c r="VU77" s="4"/>
      <c r="VV77" s="4"/>
      <c r="VW77" s="4"/>
      <c r="VX77" s="4"/>
      <c r="VY77" s="4"/>
      <c r="VZ77" s="4"/>
      <c r="WA77" s="4"/>
      <c r="WB77" s="4"/>
      <c r="WC77" s="4"/>
      <c r="WD77" s="4"/>
      <c r="WE77" s="4"/>
      <c r="WF77" s="4"/>
      <c r="WG77" s="4"/>
      <c r="WH77" s="4"/>
      <c r="WI77" s="4"/>
      <c r="WJ77" s="4"/>
      <c r="WK77" s="4"/>
      <c r="WL77" s="4"/>
      <c r="WM77" s="4"/>
      <c r="WN77" s="4"/>
      <c r="WO77" s="4"/>
      <c r="WP77" s="4"/>
      <c r="WQ77" s="4"/>
      <c r="WR77" s="4"/>
      <c r="WS77" s="4"/>
      <c r="WT77" s="4"/>
      <c r="WU77" s="4"/>
      <c r="WV77" s="4"/>
      <c r="WW77" s="4"/>
      <c r="WX77" s="4"/>
      <c r="WY77" s="4"/>
      <c r="WZ77" s="4"/>
      <c r="XA77" s="4"/>
      <c r="XB77" s="4"/>
      <c r="XC77" s="4"/>
      <c r="XD77" s="4"/>
      <c r="XE77" s="4"/>
      <c r="XF77" s="4"/>
      <c r="XG77" s="4"/>
      <c r="XH77" s="4"/>
      <c r="XI77" s="4"/>
      <c r="XJ77" s="4"/>
      <c r="XK77" s="4"/>
      <c r="XL77" s="4"/>
      <c r="XM77" s="4"/>
      <c r="XN77" s="4"/>
      <c r="XO77" s="4"/>
      <c r="XP77" s="4"/>
      <c r="XQ77" s="4"/>
      <c r="XR77" s="4"/>
      <c r="XS77" s="4"/>
      <c r="XT77" s="4"/>
      <c r="XU77" s="4"/>
      <c r="XV77" s="4"/>
      <c r="XW77" s="4"/>
      <c r="XX77" s="4"/>
      <c r="XY77" s="4"/>
      <c r="XZ77" s="4"/>
      <c r="YA77" s="4"/>
      <c r="YB77" s="4"/>
      <c r="YC77" s="4"/>
      <c r="YD77" s="4"/>
      <c r="YE77" s="4"/>
      <c r="YF77" s="4"/>
      <c r="YG77" s="4"/>
      <c r="YH77" s="4"/>
      <c r="YI77" s="4"/>
      <c r="YJ77" s="4"/>
      <c r="YK77" s="4"/>
      <c r="YL77" s="4"/>
      <c r="YM77" s="4"/>
      <c r="YN77" s="4"/>
      <c r="YO77" s="4"/>
      <c r="YP77" s="4"/>
      <c r="YQ77" s="4"/>
      <c r="YR77" s="4"/>
      <c r="YS77" s="4"/>
      <c r="YT77" s="4"/>
      <c r="YU77" s="4"/>
      <c r="YV77" s="4"/>
      <c r="YW77" s="4"/>
      <c r="YX77" s="4"/>
      <c r="YY77" s="4"/>
      <c r="YZ77" s="4"/>
      <c r="ZA77" s="4"/>
      <c r="ZB77" s="4"/>
      <c r="ZC77" s="4"/>
      <c r="ZD77" s="4"/>
      <c r="ZE77" s="4"/>
      <c r="ZF77" s="4"/>
      <c r="ZG77" s="4"/>
      <c r="ZH77" s="4"/>
      <c r="ZI77" s="4"/>
      <c r="ZJ77" s="4"/>
      <c r="ZK77" s="4"/>
      <c r="ZL77" s="4"/>
      <c r="ZM77" s="4"/>
      <c r="ZN77" s="4"/>
      <c r="ZO77" s="4"/>
      <c r="ZP77" s="4"/>
      <c r="ZQ77" s="4"/>
      <c r="ZR77" s="4"/>
      <c r="ZS77" s="4"/>
      <c r="ZT77" s="4"/>
      <c r="ZU77" s="4"/>
      <c r="ZV77" s="4"/>
      <c r="ZW77" s="4"/>
      <c r="ZX77" s="4"/>
      <c r="ZY77" s="4"/>
      <c r="ZZ77" s="4"/>
      <c r="AAA77" s="4"/>
      <c r="AAB77" s="4"/>
      <c r="AAC77" s="4"/>
      <c r="AAD77" s="4"/>
    </row>
    <row r="78" spans="1:706" ht="37.5" customHeight="1" x14ac:dyDescent="0.15">
      <c r="A78" s="4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  <c r="IW78" s="4"/>
      <c r="IX78" s="4"/>
      <c r="IY78" s="4"/>
      <c r="IZ78" s="4"/>
      <c r="JA78" s="4"/>
      <c r="JB78" s="4"/>
      <c r="JC78" s="4"/>
      <c r="JD78" s="4"/>
      <c r="JE78" s="4"/>
      <c r="JF78" s="4"/>
      <c r="JG78" s="4"/>
      <c r="JH78" s="4"/>
      <c r="JI78" s="4"/>
      <c r="JJ78" s="4"/>
      <c r="JK78" s="4"/>
      <c r="JL78" s="4"/>
      <c r="JM78" s="4"/>
      <c r="JN78" s="4"/>
      <c r="JO78" s="4"/>
      <c r="JP78" s="4"/>
      <c r="JQ78" s="4"/>
      <c r="JR78" s="4"/>
      <c r="JS78" s="4"/>
      <c r="JT78" s="4"/>
      <c r="JU78" s="4"/>
      <c r="JV78" s="4"/>
      <c r="JW78" s="4"/>
      <c r="JX78" s="4"/>
      <c r="JY78" s="4"/>
      <c r="JZ78" s="4"/>
      <c r="KA78" s="4"/>
      <c r="KB78" s="4"/>
      <c r="KC78" s="4"/>
      <c r="KD78" s="4"/>
      <c r="KE78" s="4"/>
      <c r="KF78" s="4"/>
      <c r="KG78" s="4"/>
      <c r="KH78" s="4"/>
      <c r="KI78" s="4"/>
      <c r="KJ78" s="4"/>
      <c r="KK78" s="4"/>
      <c r="KL78" s="4"/>
      <c r="KM78" s="4"/>
      <c r="KN78" s="4"/>
      <c r="KO78" s="4"/>
      <c r="KP78" s="4"/>
      <c r="KQ78" s="4"/>
      <c r="KR78" s="4"/>
      <c r="KS78" s="4"/>
      <c r="KT78" s="4"/>
      <c r="KU78" s="4"/>
      <c r="KV78" s="4"/>
      <c r="KW78" s="4"/>
      <c r="KX78" s="4"/>
      <c r="KY78" s="4"/>
      <c r="KZ78" s="4"/>
      <c r="LA78" s="4"/>
      <c r="LB78" s="4"/>
      <c r="LC78" s="4"/>
      <c r="LD78" s="4"/>
      <c r="LE78" s="4"/>
      <c r="LF78" s="4"/>
      <c r="LG78" s="4"/>
      <c r="LH78" s="4"/>
      <c r="LI78" s="4"/>
      <c r="LJ78" s="4"/>
      <c r="LK78" s="4"/>
      <c r="LL78" s="4"/>
      <c r="LM78" s="4"/>
      <c r="LN78" s="4"/>
      <c r="LO78" s="4"/>
      <c r="LP78" s="4"/>
      <c r="LQ78" s="4"/>
      <c r="LR78" s="4"/>
      <c r="LS78" s="4"/>
      <c r="LT78" s="4"/>
      <c r="LU78" s="4"/>
      <c r="LV78" s="4"/>
      <c r="LW78" s="4"/>
      <c r="LX78" s="4"/>
      <c r="LY78" s="4"/>
      <c r="LZ78" s="4"/>
      <c r="MA78" s="4"/>
      <c r="MB78" s="4"/>
      <c r="MC78" s="4"/>
      <c r="MD78" s="4"/>
      <c r="ME78" s="4"/>
      <c r="MF78" s="4"/>
      <c r="MG78" s="4"/>
      <c r="MH78" s="4"/>
      <c r="MI78" s="4"/>
      <c r="MJ78" s="4"/>
      <c r="MK78" s="4"/>
      <c r="ML78" s="4"/>
      <c r="MM78" s="4"/>
      <c r="MN78" s="4"/>
      <c r="MO78" s="4"/>
      <c r="MP78" s="4"/>
      <c r="MQ78" s="4"/>
      <c r="MR78" s="4"/>
      <c r="MS78" s="4"/>
      <c r="MT78" s="4"/>
      <c r="MU78" s="4"/>
      <c r="MV78" s="4"/>
      <c r="MW78" s="4"/>
      <c r="MX78" s="4"/>
      <c r="MY78" s="4"/>
      <c r="MZ78" s="4"/>
      <c r="NA78" s="4"/>
      <c r="NB78" s="4"/>
      <c r="NC78" s="4"/>
      <c r="ND78" s="4"/>
      <c r="NE78" s="4"/>
      <c r="NF78" s="4"/>
      <c r="NG78" s="4"/>
      <c r="NH78" s="4"/>
      <c r="NI78" s="4"/>
      <c r="NJ78" s="4"/>
      <c r="NK78" s="4"/>
      <c r="NL78" s="4"/>
      <c r="NM78" s="4"/>
      <c r="NN78" s="4"/>
      <c r="NO78" s="4"/>
      <c r="NP78" s="4"/>
      <c r="NQ78" s="4"/>
      <c r="NR78" s="4"/>
      <c r="NS78" s="4"/>
      <c r="NT78" s="4"/>
      <c r="NU78" s="4"/>
      <c r="NV78" s="4"/>
      <c r="NW78" s="4"/>
      <c r="NX78" s="4"/>
      <c r="NY78" s="4"/>
      <c r="NZ78" s="4"/>
      <c r="OA78" s="4"/>
      <c r="OB78" s="4"/>
      <c r="OC78" s="4"/>
      <c r="OD78" s="4"/>
      <c r="OE78" s="4"/>
      <c r="OF78" s="4"/>
      <c r="OG78" s="4"/>
      <c r="OH78" s="4"/>
      <c r="OI78" s="4"/>
      <c r="OJ78" s="4"/>
      <c r="OK78" s="4"/>
      <c r="OL78" s="4"/>
      <c r="OM78" s="4"/>
      <c r="ON78" s="4"/>
      <c r="OO78" s="4"/>
      <c r="OP78" s="4"/>
      <c r="OQ78" s="4"/>
      <c r="OR78" s="4"/>
      <c r="OS78" s="4"/>
      <c r="OT78" s="4"/>
      <c r="OU78" s="4"/>
      <c r="OV78" s="4"/>
      <c r="OW78" s="4"/>
      <c r="OX78" s="4"/>
      <c r="OY78" s="4"/>
      <c r="OZ78" s="4"/>
      <c r="PA78" s="4"/>
      <c r="PB78" s="4"/>
      <c r="PC78" s="4"/>
      <c r="PD78" s="4"/>
      <c r="PE78" s="4"/>
      <c r="PF78" s="4"/>
      <c r="PG78" s="4"/>
      <c r="PH78" s="4"/>
      <c r="PI78" s="4"/>
      <c r="PJ78" s="4"/>
      <c r="PK78" s="4"/>
      <c r="PL78" s="4"/>
      <c r="PM78" s="4"/>
      <c r="PN78" s="4"/>
      <c r="PO78" s="4"/>
      <c r="PP78" s="4"/>
      <c r="PQ78" s="4"/>
      <c r="PR78" s="4"/>
      <c r="PS78" s="4"/>
      <c r="PT78" s="4"/>
      <c r="PU78" s="4"/>
      <c r="PV78" s="4"/>
      <c r="PW78" s="4"/>
      <c r="PX78" s="4"/>
      <c r="PY78" s="4"/>
      <c r="PZ78" s="4"/>
      <c r="QA78" s="4"/>
      <c r="QB78" s="4"/>
      <c r="QC78" s="4"/>
      <c r="QD78" s="4"/>
      <c r="QE78" s="4"/>
      <c r="QF78" s="4"/>
      <c r="QG78" s="4"/>
      <c r="QH78" s="4"/>
      <c r="QI78" s="4"/>
      <c r="QJ78" s="4"/>
      <c r="QK78" s="4"/>
      <c r="QL78" s="4"/>
      <c r="QM78" s="4"/>
      <c r="QN78" s="4"/>
      <c r="QO78" s="4"/>
      <c r="QP78" s="4"/>
      <c r="QQ78" s="4"/>
      <c r="QR78" s="4"/>
      <c r="QS78" s="4"/>
      <c r="QT78" s="4"/>
      <c r="QU78" s="4"/>
      <c r="QV78" s="4"/>
      <c r="QW78" s="4"/>
      <c r="QX78" s="4"/>
      <c r="QY78" s="4"/>
      <c r="QZ78" s="4"/>
      <c r="RA78" s="4"/>
      <c r="RB78" s="4"/>
      <c r="RC78" s="4"/>
      <c r="RD78" s="4"/>
      <c r="RE78" s="4"/>
      <c r="RF78" s="4"/>
      <c r="RG78" s="4"/>
      <c r="RH78" s="4"/>
      <c r="RI78" s="4"/>
      <c r="RJ78" s="4"/>
      <c r="RK78" s="4"/>
      <c r="RL78" s="4"/>
      <c r="RM78" s="4"/>
      <c r="RN78" s="4"/>
      <c r="RO78" s="4"/>
      <c r="RP78" s="4"/>
      <c r="RQ78" s="4"/>
      <c r="RR78" s="4"/>
      <c r="RS78" s="4"/>
      <c r="RT78" s="4"/>
      <c r="RU78" s="4"/>
      <c r="RV78" s="4"/>
      <c r="RW78" s="4"/>
      <c r="RX78" s="4"/>
      <c r="RY78" s="4"/>
      <c r="RZ78" s="4"/>
      <c r="SA78" s="4"/>
      <c r="SB78" s="4"/>
      <c r="SC78" s="4"/>
      <c r="SD78" s="4"/>
      <c r="SE78" s="4"/>
      <c r="SF78" s="4"/>
      <c r="SG78" s="4"/>
      <c r="SH78" s="4"/>
      <c r="SI78" s="4"/>
      <c r="SJ78" s="4"/>
      <c r="SK78" s="4"/>
      <c r="SL78" s="4"/>
      <c r="SM78" s="4"/>
      <c r="SN78" s="4"/>
      <c r="SO78" s="4"/>
      <c r="SP78" s="4"/>
      <c r="SQ78" s="4"/>
      <c r="SR78" s="4"/>
      <c r="SS78" s="4"/>
      <c r="ST78" s="4"/>
      <c r="SU78" s="4"/>
      <c r="SV78" s="4"/>
      <c r="SW78" s="4"/>
      <c r="SX78" s="4"/>
      <c r="SY78" s="4"/>
      <c r="SZ78" s="4"/>
      <c r="TA78" s="4"/>
      <c r="TB78" s="4"/>
      <c r="TC78" s="4"/>
      <c r="TD78" s="4"/>
      <c r="TE78" s="4"/>
      <c r="TF78" s="4"/>
      <c r="TG78" s="4"/>
      <c r="TH78" s="4"/>
      <c r="TI78" s="4"/>
      <c r="TJ78" s="4"/>
      <c r="TK78" s="4"/>
      <c r="TL78" s="4"/>
      <c r="TM78" s="4"/>
      <c r="TN78" s="4"/>
      <c r="TO78" s="4"/>
      <c r="TP78" s="4"/>
      <c r="TQ78" s="4"/>
      <c r="TR78" s="4"/>
      <c r="TS78" s="4"/>
      <c r="TT78" s="4"/>
      <c r="TU78" s="4"/>
      <c r="TV78" s="4"/>
      <c r="TW78" s="4"/>
      <c r="TX78" s="4"/>
      <c r="TY78" s="4"/>
      <c r="TZ78" s="4"/>
      <c r="UA78" s="4"/>
      <c r="UB78" s="4"/>
      <c r="UC78" s="4"/>
      <c r="UD78" s="4"/>
      <c r="UE78" s="4"/>
      <c r="UF78" s="4"/>
      <c r="UG78" s="4"/>
      <c r="UH78" s="4"/>
      <c r="UI78" s="4"/>
      <c r="UJ78" s="4"/>
      <c r="UK78" s="4"/>
      <c r="UL78" s="4"/>
      <c r="UM78" s="4"/>
      <c r="UN78" s="4"/>
      <c r="UO78" s="4"/>
      <c r="UP78" s="4"/>
      <c r="UQ78" s="4"/>
      <c r="UR78" s="4"/>
      <c r="US78" s="4"/>
      <c r="UT78" s="4"/>
      <c r="UU78" s="4"/>
      <c r="UV78" s="4"/>
      <c r="UW78" s="4"/>
      <c r="UX78" s="4"/>
      <c r="UY78" s="4"/>
      <c r="UZ78" s="4"/>
      <c r="VA78" s="4"/>
      <c r="VB78" s="4"/>
      <c r="VC78" s="4"/>
      <c r="VD78" s="4"/>
      <c r="VE78" s="4"/>
      <c r="VF78" s="4"/>
      <c r="VG78" s="4"/>
      <c r="VH78" s="4"/>
      <c r="VI78" s="4"/>
      <c r="VJ78" s="4"/>
      <c r="VK78" s="4"/>
      <c r="VL78" s="4"/>
      <c r="VM78" s="4"/>
      <c r="VN78" s="4"/>
      <c r="VO78" s="4"/>
      <c r="VP78" s="4"/>
      <c r="VQ78" s="4"/>
      <c r="VR78" s="4"/>
      <c r="VS78" s="4"/>
      <c r="VT78" s="4"/>
      <c r="VU78" s="4"/>
      <c r="VV78" s="4"/>
      <c r="VW78" s="4"/>
      <c r="VX78" s="4"/>
      <c r="VY78" s="4"/>
      <c r="VZ78" s="4"/>
      <c r="WA78" s="4"/>
      <c r="WB78" s="4"/>
      <c r="WC78" s="4"/>
      <c r="WD78" s="4"/>
      <c r="WE78" s="4"/>
      <c r="WF78" s="4"/>
      <c r="WG78" s="4"/>
      <c r="WH78" s="4"/>
      <c r="WI78" s="4"/>
      <c r="WJ78" s="4"/>
      <c r="WK78" s="4"/>
      <c r="WL78" s="4"/>
      <c r="WM78" s="4"/>
      <c r="WN78" s="4"/>
      <c r="WO78" s="4"/>
      <c r="WP78" s="4"/>
      <c r="WQ78" s="4"/>
      <c r="WR78" s="4"/>
      <c r="WS78" s="4"/>
      <c r="WT78" s="4"/>
      <c r="WU78" s="4"/>
      <c r="WV78" s="4"/>
      <c r="WW78" s="4"/>
      <c r="WX78" s="4"/>
      <c r="WY78" s="4"/>
      <c r="WZ78" s="4"/>
      <c r="XA78" s="4"/>
      <c r="XB78" s="4"/>
      <c r="XC78" s="4"/>
      <c r="XD78" s="4"/>
      <c r="XE78" s="4"/>
      <c r="XF78" s="4"/>
      <c r="XG78" s="4"/>
      <c r="XH78" s="4"/>
      <c r="XI78" s="4"/>
      <c r="XJ78" s="4"/>
      <c r="XK78" s="4"/>
      <c r="XL78" s="4"/>
      <c r="XM78" s="4"/>
      <c r="XN78" s="4"/>
      <c r="XO78" s="4"/>
      <c r="XP78" s="4"/>
      <c r="XQ78" s="4"/>
      <c r="XR78" s="4"/>
      <c r="XS78" s="4"/>
      <c r="XT78" s="4"/>
      <c r="XU78" s="4"/>
      <c r="XV78" s="4"/>
      <c r="XW78" s="4"/>
      <c r="XX78" s="4"/>
      <c r="XY78" s="4"/>
      <c r="XZ78" s="4"/>
      <c r="YA78" s="4"/>
      <c r="YB78" s="4"/>
      <c r="YC78" s="4"/>
      <c r="YD78" s="4"/>
      <c r="YE78" s="4"/>
      <c r="YF78" s="4"/>
      <c r="YG78" s="4"/>
      <c r="YH78" s="4"/>
      <c r="YI78" s="4"/>
      <c r="YJ78" s="4"/>
      <c r="YK78" s="4"/>
      <c r="YL78" s="4"/>
      <c r="YM78" s="4"/>
      <c r="YN78" s="4"/>
      <c r="YO78" s="4"/>
      <c r="YP78" s="4"/>
      <c r="YQ78" s="4"/>
      <c r="YR78" s="4"/>
      <c r="YS78" s="4"/>
      <c r="YT78" s="4"/>
      <c r="YU78" s="4"/>
      <c r="YV78" s="4"/>
      <c r="YW78" s="4"/>
      <c r="YX78" s="4"/>
      <c r="YY78" s="4"/>
      <c r="YZ78" s="4"/>
      <c r="ZA78" s="4"/>
      <c r="ZB78" s="4"/>
      <c r="ZC78" s="4"/>
      <c r="ZD78" s="4"/>
      <c r="ZE78" s="4"/>
      <c r="ZF78" s="4"/>
      <c r="ZG78" s="4"/>
      <c r="ZH78" s="4"/>
      <c r="ZI78" s="4"/>
      <c r="ZJ78" s="4"/>
      <c r="ZK78" s="4"/>
      <c r="ZL78" s="4"/>
      <c r="ZM78" s="4"/>
      <c r="ZN78" s="4"/>
      <c r="ZO78" s="4"/>
      <c r="ZP78" s="4"/>
      <c r="ZQ78" s="4"/>
      <c r="ZR78" s="4"/>
      <c r="ZS78" s="4"/>
      <c r="ZT78" s="4"/>
      <c r="ZU78" s="4"/>
      <c r="ZV78" s="4"/>
      <c r="ZW78" s="4"/>
      <c r="ZX78" s="4"/>
      <c r="ZY78" s="4"/>
      <c r="ZZ78" s="4"/>
      <c r="AAA78" s="4"/>
      <c r="AAB78" s="4"/>
      <c r="AAC78" s="4"/>
      <c r="AAD78" s="4"/>
    </row>
    <row r="79" spans="1:706" ht="15" customHeight="1" x14ac:dyDescent="0.15">
      <c r="A79" s="14"/>
      <c r="B79" s="15"/>
      <c r="C79" s="16"/>
      <c r="D79" s="16"/>
      <c r="E79" s="16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8"/>
      <c r="DK79" s="16"/>
      <c r="DL79" s="16"/>
      <c r="DM79" s="16"/>
      <c r="DN79" s="13"/>
      <c r="DO79" s="19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  <c r="GL79" s="20"/>
      <c r="GM79" s="20"/>
      <c r="GN79" s="20"/>
      <c r="GO79" s="20"/>
      <c r="GP79" s="20"/>
      <c r="GQ79" s="20"/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  <c r="HC79" s="20"/>
      <c r="HD79" s="20"/>
      <c r="HE79" s="20"/>
      <c r="HF79" s="20"/>
      <c r="HG79" s="20"/>
      <c r="HH79" s="20"/>
      <c r="HI79" s="20"/>
      <c r="HJ79" s="20"/>
      <c r="HK79" s="20"/>
      <c r="HL79" s="20"/>
      <c r="HM79" s="20"/>
      <c r="HN79" s="20"/>
      <c r="HO79" s="20"/>
      <c r="HP79" s="20"/>
      <c r="HQ79" s="20"/>
      <c r="HR79" s="20"/>
      <c r="HS79" s="20"/>
      <c r="HT79" s="20"/>
      <c r="HU79" s="20"/>
      <c r="HV79" s="20"/>
      <c r="HW79" s="20"/>
      <c r="HX79" s="20"/>
      <c r="HY79" s="20"/>
      <c r="HZ79" s="20"/>
      <c r="IA79" s="20"/>
      <c r="IB79" s="20"/>
      <c r="IC79" s="20"/>
      <c r="ID79" s="20"/>
      <c r="IE79" s="20"/>
      <c r="IF79" s="20"/>
      <c r="IG79" s="20"/>
      <c r="IH79" s="20"/>
      <c r="II79" s="20"/>
      <c r="IJ79" s="20"/>
      <c r="IK79" s="20"/>
      <c r="IL79" s="20"/>
      <c r="IM79" s="20"/>
      <c r="IN79" s="20"/>
      <c r="IO79" s="20"/>
      <c r="IP79" s="20"/>
      <c r="IQ79" s="20"/>
      <c r="IR79" s="20"/>
      <c r="IS79" s="20"/>
      <c r="IT79" s="20"/>
      <c r="IU79" s="20"/>
      <c r="IV79" s="20"/>
      <c r="IW79" s="20"/>
      <c r="IX79" s="20"/>
      <c r="IY79" s="20"/>
      <c r="IZ79" s="20"/>
      <c r="JA79" s="20"/>
      <c r="JB79" s="20"/>
      <c r="JC79" s="20"/>
      <c r="JD79" s="20"/>
      <c r="JE79" s="20"/>
      <c r="JF79" s="20"/>
      <c r="JG79" s="20"/>
      <c r="JH79" s="20"/>
      <c r="JI79" s="20"/>
      <c r="JJ79" s="20"/>
      <c r="JK79" s="20"/>
      <c r="JL79" s="20"/>
      <c r="JM79" s="20"/>
      <c r="JN79" s="20"/>
      <c r="JO79" s="20"/>
      <c r="JP79" s="20"/>
      <c r="JQ79" s="20"/>
      <c r="JR79" s="20"/>
      <c r="JS79" s="20"/>
      <c r="JT79" s="20"/>
      <c r="JU79" s="20"/>
      <c r="JV79" s="20"/>
      <c r="JW79" s="20"/>
      <c r="JX79" s="20"/>
      <c r="JY79" s="20"/>
      <c r="JZ79" s="20"/>
      <c r="KA79" s="20"/>
      <c r="KB79" s="20"/>
      <c r="KC79" s="20"/>
      <c r="KD79" s="20"/>
      <c r="KE79" s="20"/>
      <c r="KF79" s="20"/>
      <c r="KG79" s="20"/>
      <c r="KH79" s="20"/>
      <c r="KI79" s="20"/>
      <c r="KJ79" s="20"/>
      <c r="KK79" s="20"/>
      <c r="KL79" s="20"/>
      <c r="KM79" s="20"/>
      <c r="KN79" s="20"/>
      <c r="KO79" s="20"/>
      <c r="KP79" s="20"/>
      <c r="KQ79" s="20"/>
      <c r="KR79" s="20"/>
      <c r="KS79" s="20"/>
      <c r="KT79" s="20"/>
      <c r="KU79" s="20"/>
      <c r="KV79" s="20"/>
      <c r="KW79" s="20"/>
      <c r="KX79" s="20"/>
      <c r="KY79" s="20"/>
      <c r="KZ79" s="20"/>
      <c r="LA79" s="20"/>
      <c r="LB79" s="20"/>
      <c r="LC79" s="20"/>
      <c r="LD79" s="20"/>
      <c r="LE79" s="20"/>
      <c r="LF79" s="20"/>
      <c r="LG79" s="20"/>
      <c r="LH79" s="20"/>
      <c r="LI79" s="20"/>
      <c r="LJ79" s="20"/>
      <c r="LK79" s="20"/>
      <c r="LL79" s="20"/>
      <c r="LM79" s="20"/>
      <c r="LN79" s="20"/>
      <c r="LO79" s="20"/>
      <c r="LP79" s="20"/>
      <c r="LQ79" s="20"/>
      <c r="LR79" s="20"/>
      <c r="LS79" s="20"/>
      <c r="LT79" s="20"/>
      <c r="LU79" s="20"/>
      <c r="LV79" s="20"/>
      <c r="LW79" s="20"/>
      <c r="LX79" s="20"/>
      <c r="LY79" s="20"/>
      <c r="LZ79" s="20"/>
      <c r="MA79" s="20"/>
      <c r="MB79" s="20"/>
      <c r="MC79" s="20"/>
      <c r="MD79" s="20"/>
      <c r="ME79" s="20"/>
      <c r="MF79" s="20"/>
      <c r="MG79" s="20"/>
      <c r="MH79" s="20"/>
      <c r="MI79" s="20"/>
      <c r="MJ79" s="20"/>
      <c r="MK79" s="20"/>
      <c r="ML79" s="20"/>
      <c r="MM79" s="20"/>
      <c r="MN79" s="20"/>
      <c r="MO79" s="20"/>
      <c r="MP79" s="20"/>
      <c r="MQ79" s="20"/>
      <c r="MR79" s="20"/>
      <c r="MS79" s="20"/>
      <c r="MT79" s="20"/>
      <c r="MU79" s="20"/>
      <c r="MV79" s="20"/>
      <c r="MW79" s="20"/>
      <c r="MX79" s="20"/>
      <c r="MY79" s="20"/>
      <c r="MZ79" s="20"/>
      <c r="NA79" s="20"/>
      <c r="NB79" s="20"/>
      <c r="NC79" s="20"/>
      <c r="ND79" s="20"/>
      <c r="NE79" s="20"/>
      <c r="NF79" s="20"/>
      <c r="NG79" s="20"/>
      <c r="NH79" s="20"/>
      <c r="NI79" s="20"/>
      <c r="NJ79" s="20"/>
      <c r="NK79" s="20"/>
      <c r="NL79" s="20"/>
      <c r="NM79" s="20"/>
      <c r="NN79" s="20"/>
      <c r="NO79" s="20"/>
      <c r="NP79" s="20"/>
      <c r="NQ79" s="20"/>
      <c r="NR79" s="20"/>
      <c r="NS79" s="20"/>
      <c r="NT79" s="20"/>
      <c r="NU79" s="20"/>
      <c r="NV79" s="20"/>
      <c r="NW79" s="20"/>
      <c r="NX79" s="20"/>
      <c r="NY79" s="20"/>
      <c r="NZ79" s="20"/>
      <c r="OA79" s="20"/>
      <c r="OB79" s="20"/>
      <c r="OC79" s="20"/>
      <c r="OD79" s="20"/>
      <c r="OE79" s="20"/>
      <c r="OF79" s="20"/>
      <c r="OG79" s="20"/>
      <c r="OH79" s="20"/>
      <c r="OI79" s="20"/>
      <c r="OJ79" s="20"/>
      <c r="OK79" s="20"/>
      <c r="OL79" s="20"/>
      <c r="OM79" s="20"/>
      <c r="ON79" s="20"/>
      <c r="OO79" s="20"/>
      <c r="OP79" s="20"/>
      <c r="OQ79" s="20"/>
      <c r="OR79" s="20"/>
      <c r="OS79" s="20"/>
      <c r="OT79" s="20"/>
      <c r="OU79" s="20"/>
      <c r="OV79" s="20"/>
      <c r="OW79" s="20"/>
      <c r="OX79" s="20"/>
      <c r="OY79" s="20"/>
      <c r="OZ79" s="20"/>
      <c r="PA79" s="20"/>
      <c r="PB79" s="20"/>
      <c r="PC79" s="20"/>
      <c r="PD79" s="20"/>
      <c r="PE79" s="20"/>
      <c r="PF79" s="20"/>
      <c r="PG79" s="20"/>
      <c r="PH79" s="20"/>
      <c r="PI79" s="20"/>
      <c r="PJ79" s="20"/>
      <c r="PK79" s="20"/>
      <c r="PL79" s="20"/>
      <c r="PM79" s="20"/>
      <c r="PN79" s="20"/>
      <c r="PO79" s="20"/>
      <c r="PP79" s="20"/>
      <c r="PQ79" s="20"/>
      <c r="PR79" s="20"/>
      <c r="PS79" s="20"/>
      <c r="PT79" s="20"/>
      <c r="PU79" s="20"/>
      <c r="PV79" s="20"/>
      <c r="PW79" s="20"/>
      <c r="PX79" s="20"/>
      <c r="PY79" s="20"/>
      <c r="PZ79" s="20"/>
      <c r="QA79" s="20"/>
      <c r="QB79" s="20"/>
      <c r="QC79" s="20"/>
      <c r="QD79" s="20"/>
      <c r="QE79" s="20"/>
      <c r="QF79" s="20"/>
      <c r="QG79" s="20"/>
      <c r="QH79" s="20"/>
      <c r="QI79" s="20"/>
      <c r="QJ79" s="20"/>
      <c r="QK79" s="20"/>
      <c r="QL79" s="20"/>
      <c r="QM79" s="20"/>
      <c r="QN79" s="20"/>
      <c r="QO79" s="20"/>
      <c r="QP79" s="20"/>
      <c r="QQ79" s="20"/>
      <c r="QR79" s="20"/>
      <c r="QS79" s="20"/>
      <c r="QT79" s="20"/>
      <c r="QU79" s="20"/>
      <c r="QV79" s="20"/>
      <c r="QW79" s="20"/>
      <c r="QX79" s="20"/>
      <c r="QY79" s="20"/>
      <c r="QZ79" s="20"/>
      <c r="RA79" s="20"/>
      <c r="RB79" s="20"/>
      <c r="RC79" s="20"/>
      <c r="RD79" s="20"/>
      <c r="RE79" s="20"/>
      <c r="RF79" s="20"/>
      <c r="RG79" s="20"/>
      <c r="RH79" s="20"/>
      <c r="RI79" s="20"/>
      <c r="RJ79" s="20"/>
      <c r="RK79" s="20"/>
      <c r="RL79" s="20"/>
      <c r="RM79" s="20"/>
      <c r="RN79" s="20"/>
      <c r="RO79" s="20"/>
      <c r="RP79" s="20"/>
      <c r="RQ79" s="20"/>
      <c r="RR79" s="20"/>
      <c r="RS79" s="20"/>
      <c r="RT79" s="20"/>
      <c r="RU79" s="20"/>
      <c r="RV79" s="20"/>
      <c r="RW79" s="20"/>
      <c r="RX79" s="20"/>
      <c r="RY79" s="20"/>
      <c r="RZ79" s="20"/>
      <c r="SA79" s="20"/>
      <c r="SB79" s="20"/>
      <c r="SC79" s="20"/>
      <c r="SD79" s="20"/>
      <c r="SE79" s="20"/>
      <c r="SF79" s="20"/>
      <c r="SG79" s="20"/>
      <c r="SH79" s="20"/>
      <c r="SI79" s="20"/>
      <c r="SJ79" s="20"/>
      <c r="SK79" s="20"/>
      <c r="SL79" s="20"/>
      <c r="SM79" s="20"/>
      <c r="SN79" s="20"/>
      <c r="SO79" s="20"/>
      <c r="SP79" s="20"/>
      <c r="SQ79" s="20"/>
      <c r="SR79" s="20"/>
      <c r="SS79" s="20"/>
      <c r="ST79" s="20"/>
      <c r="SU79" s="20"/>
      <c r="SV79" s="20"/>
      <c r="SW79" s="20"/>
      <c r="SX79" s="20"/>
      <c r="SY79" s="20"/>
      <c r="SZ79" s="20"/>
      <c r="TA79" s="20"/>
      <c r="TB79" s="20"/>
      <c r="TC79" s="20"/>
      <c r="TD79" s="20"/>
      <c r="TE79" s="20"/>
      <c r="TF79" s="20"/>
      <c r="TG79" s="20"/>
      <c r="TH79" s="20"/>
      <c r="TI79" s="20"/>
      <c r="TJ79" s="20"/>
      <c r="TK79" s="20"/>
      <c r="TL79" s="20"/>
      <c r="TM79" s="20"/>
      <c r="TN79" s="20"/>
      <c r="TO79" s="20"/>
      <c r="TP79" s="20"/>
      <c r="TQ79" s="20"/>
      <c r="TR79" s="20"/>
      <c r="TS79" s="20"/>
      <c r="TT79" s="20"/>
      <c r="TU79" s="20"/>
      <c r="TV79" s="20"/>
      <c r="TW79" s="20"/>
      <c r="TX79" s="20"/>
      <c r="TY79" s="20"/>
      <c r="TZ79" s="20"/>
      <c r="UA79" s="20"/>
      <c r="UB79" s="20"/>
      <c r="UC79" s="20"/>
      <c r="UD79" s="20"/>
      <c r="UE79" s="20"/>
      <c r="UF79" s="20"/>
      <c r="UG79" s="20"/>
      <c r="UH79" s="20"/>
      <c r="UI79" s="20"/>
      <c r="UJ79" s="20"/>
      <c r="UK79" s="20"/>
      <c r="UL79" s="20"/>
      <c r="UM79" s="20"/>
      <c r="UN79" s="20"/>
      <c r="UO79" s="20"/>
      <c r="UP79" s="20"/>
      <c r="UQ79" s="20"/>
      <c r="UR79" s="20"/>
      <c r="US79" s="20"/>
      <c r="UT79" s="20"/>
      <c r="UU79" s="20"/>
      <c r="UV79" s="20"/>
      <c r="UW79" s="20"/>
      <c r="UX79" s="20"/>
      <c r="UY79" s="20"/>
      <c r="UZ79" s="20"/>
      <c r="VA79" s="20"/>
      <c r="VB79" s="20"/>
      <c r="VC79" s="20"/>
      <c r="VD79" s="20"/>
      <c r="VE79" s="20"/>
      <c r="VF79" s="20"/>
      <c r="VG79" s="20"/>
      <c r="VH79" s="20"/>
      <c r="VI79" s="20"/>
      <c r="VJ79" s="20"/>
      <c r="VK79" s="20"/>
      <c r="VL79" s="20"/>
      <c r="VM79" s="20"/>
      <c r="VN79" s="20"/>
      <c r="VO79" s="20"/>
      <c r="VP79" s="20"/>
      <c r="VQ79" s="20"/>
      <c r="VR79" s="20"/>
      <c r="VS79" s="20"/>
      <c r="VT79" s="20"/>
      <c r="VU79" s="20"/>
      <c r="VV79" s="20"/>
      <c r="VW79" s="20"/>
      <c r="VX79" s="20"/>
      <c r="VY79" s="20"/>
      <c r="VZ79" s="20"/>
      <c r="WA79" s="20"/>
      <c r="WB79" s="20"/>
      <c r="WC79" s="20"/>
      <c r="WD79" s="20"/>
      <c r="WE79" s="20"/>
      <c r="WF79" s="20"/>
      <c r="WG79" s="20"/>
      <c r="WH79" s="20"/>
      <c r="WI79" s="20"/>
      <c r="WJ79" s="20"/>
      <c r="WK79" s="20"/>
      <c r="WL79" s="20"/>
      <c r="WM79" s="20"/>
      <c r="WN79" s="20"/>
      <c r="WO79" s="20"/>
      <c r="WP79" s="20"/>
      <c r="WQ79" s="20"/>
      <c r="WR79" s="20"/>
      <c r="WS79" s="20"/>
      <c r="WT79" s="20"/>
      <c r="WU79" s="20"/>
      <c r="WV79" s="20"/>
      <c r="WW79" s="20"/>
      <c r="WX79" s="20"/>
      <c r="WY79" s="20"/>
      <c r="WZ79" s="20"/>
      <c r="XA79" s="20"/>
      <c r="XB79" s="20"/>
      <c r="XC79" s="20"/>
      <c r="XD79" s="20"/>
      <c r="XE79" s="20"/>
      <c r="XF79" s="20"/>
      <c r="XG79" s="20"/>
      <c r="XH79" s="20"/>
      <c r="XI79" s="20"/>
      <c r="XJ79" s="20"/>
      <c r="XK79" s="20"/>
      <c r="XL79" s="20"/>
      <c r="XM79" s="20"/>
      <c r="XN79" s="20"/>
      <c r="XO79" s="20"/>
      <c r="XP79" s="20"/>
      <c r="XQ79" s="20"/>
      <c r="XR79" s="20"/>
      <c r="XS79" s="20"/>
      <c r="XT79" s="20"/>
      <c r="XU79" s="20"/>
      <c r="XV79" s="20"/>
      <c r="XW79" s="20"/>
      <c r="XX79" s="20"/>
      <c r="XY79" s="20"/>
      <c r="XZ79" s="20"/>
      <c r="YA79" s="20"/>
      <c r="YB79" s="20"/>
      <c r="YC79" s="20"/>
      <c r="YD79" s="20"/>
      <c r="YE79" s="20"/>
      <c r="YF79" s="20"/>
      <c r="YG79" s="20"/>
      <c r="YH79" s="20"/>
      <c r="YI79" s="20"/>
      <c r="YJ79" s="20"/>
      <c r="YK79" s="20"/>
      <c r="YL79" s="20"/>
      <c r="YM79" s="20"/>
      <c r="YN79" s="20"/>
      <c r="YO79" s="20"/>
      <c r="YP79" s="20"/>
      <c r="YQ79" s="20"/>
      <c r="YR79" s="20"/>
      <c r="YS79" s="20"/>
      <c r="YT79" s="20"/>
      <c r="YU79" s="20"/>
      <c r="YV79" s="20"/>
      <c r="YW79" s="20"/>
      <c r="YX79" s="20"/>
      <c r="YY79" s="20"/>
      <c r="YZ79" s="20"/>
      <c r="ZA79" s="20"/>
      <c r="ZB79" s="20"/>
      <c r="ZC79" s="20"/>
      <c r="ZD79" s="20"/>
      <c r="ZE79" s="20"/>
      <c r="ZF79" s="20"/>
      <c r="ZG79" s="20"/>
      <c r="ZH79" s="20"/>
      <c r="ZI79" s="20"/>
      <c r="ZJ79" s="20"/>
      <c r="ZK79" s="20"/>
      <c r="ZL79" s="20"/>
      <c r="ZM79" s="20"/>
      <c r="ZN79" s="20"/>
      <c r="ZO79" s="20"/>
      <c r="ZP79" s="20"/>
      <c r="ZQ79" s="20"/>
      <c r="ZR79" s="20"/>
      <c r="ZS79" s="20"/>
      <c r="ZT79" s="20"/>
      <c r="ZU79" s="20"/>
      <c r="ZV79" s="20"/>
      <c r="ZW79" s="20"/>
      <c r="ZX79" s="20"/>
      <c r="ZY79" s="20"/>
      <c r="ZZ79" s="20"/>
      <c r="AAA79" s="20"/>
      <c r="AAB79" s="20"/>
      <c r="AAC79" s="20"/>
      <c r="AAD79" s="20"/>
    </row>
    <row r="80" spans="1:706" ht="4.5" customHeight="1" x14ac:dyDescent="0.15">
      <c r="A80" s="13"/>
      <c r="B80" s="21"/>
      <c r="C80" s="22"/>
      <c r="D80" s="22"/>
      <c r="E80" s="22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2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2"/>
      <c r="DL80" s="22"/>
      <c r="DM80" s="22"/>
      <c r="DN80" s="13"/>
      <c r="DO80" s="24"/>
    </row>
    <row r="81" spans="1:119" ht="25.5" customHeight="1" x14ac:dyDescent="0.15">
      <c r="A81" s="13"/>
      <c r="B81" s="21"/>
      <c r="C81" s="22"/>
      <c r="D81" s="22"/>
      <c r="E81" s="22"/>
      <c r="F81" s="108" t="s">
        <v>7</v>
      </c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7"/>
      <c r="V81" s="109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  <c r="BB81" s="103"/>
      <c r="BC81" s="103"/>
      <c r="BD81" s="103"/>
      <c r="BE81" s="103"/>
      <c r="BF81" s="103"/>
      <c r="BG81" s="103"/>
      <c r="BH81" s="103"/>
      <c r="BI81" s="103"/>
      <c r="BJ81" s="103"/>
      <c r="BK81" s="103"/>
      <c r="BL81" s="103"/>
      <c r="BM81" s="103"/>
      <c r="BN81" s="103"/>
      <c r="BO81" s="104"/>
      <c r="BP81" s="23"/>
      <c r="BQ81" s="22"/>
      <c r="BR81" s="108" t="s">
        <v>26</v>
      </c>
      <c r="BS81" s="106"/>
      <c r="BT81" s="106"/>
      <c r="BU81" s="106"/>
      <c r="BV81" s="106"/>
      <c r="BW81" s="106"/>
      <c r="BX81" s="106"/>
      <c r="BY81" s="106"/>
      <c r="BZ81" s="106"/>
      <c r="CA81" s="106"/>
      <c r="CB81" s="106"/>
      <c r="CC81" s="106"/>
      <c r="CD81" s="106"/>
      <c r="CE81" s="106"/>
      <c r="CF81" s="106"/>
      <c r="CG81" s="107"/>
      <c r="CH81" s="138"/>
      <c r="CI81" s="103"/>
      <c r="CJ81" s="103"/>
      <c r="CK81" s="103"/>
      <c r="CL81" s="103"/>
      <c r="CM81" s="103"/>
      <c r="CN81" s="103"/>
      <c r="CO81" s="103"/>
      <c r="CP81" s="103"/>
      <c r="CQ81" s="103"/>
      <c r="CR81" s="103"/>
      <c r="CS81" s="103"/>
      <c r="CT81" s="103"/>
      <c r="CU81" s="103"/>
      <c r="CV81" s="103"/>
      <c r="CW81" s="103"/>
      <c r="CX81" s="103"/>
      <c r="CY81" s="103"/>
      <c r="CZ81" s="103"/>
      <c r="DA81" s="103"/>
      <c r="DB81" s="103"/>
      <c r="DC81" s="103"/>
      <c r="DD81" s="103"/>
      <c r="DE81" s="103"/>
      <c r="DF81" s="103"/>
      <c r="DG81" s="103"/>
      <c r="DH81" s="103"/>
      <c r="DI81" s="104"/>
      <c r="DJ81" s="23"/>
      <c r="DK81" s="22"/>
      <c r="DL81" s="22"/>
      <c r="DM81" s="22"/>
      <c r="DN81" s="13"/>
      <c r="DO81" s="24"/>
    </row>
    <row r="82" spans="1:119" ht="4.5" customHeight="1" x14ac:dyDescent="0.15">
      <c r="A82" s="13"/>
      <c r="B82" s="21"/>
      <c r="C82" s="22"/>
      <c r="D82" s="22"/>
      <c r="E82" s="22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2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2"/>
      <c r="DL82" s="22"/>
      <c r="DM82" s="22"/>
      <c r="DN82" s="13"/>
      <c r="DO82" s="24"/>
    </row>
    <row r="83" spans="1:119" ht="4.5" customHeight="1" x14ac:dyDescent="0.15">
      <c r="A83" s="13"/>
      <c r="B83" s="21"/>
      <c r="C83" s="22"/>
      <c r="D83" s="22"/>
      <c r="E83" s="22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8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13"/>
      <c r="DO83" s="24"/>
    </row>
    <row r="84" spans="1:119" ht="4.5" customHeight="1" x14ac:dyDescent="0.15">
      <c r="A84" s="13"/>
      <c r="B84" s="21"/>
      <c r="C84" s="22"/>
      <c r="D84" s="22"/>
      <c r="E84" s="22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2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2"/>
      <c r="DL84" s="22"/>
      <c r="DM84" s="22"/>
      <c r="DN84" s="13"/>
      <c r="DO84" s="24"/>
    </row>
    <row r="85" spans="1:119" ht="25.5" customHeight="1" x14ac:dyDescent="0.15">
      <c r="A85" s="13"/>
      <c r="B85" s="21"/>
      <c r="C85" s="22"/>
      <c r="D85" s="22"/>
      <c r="E85" s="22"/>
      <c r="F85" s="108" t="s">
        <v>27</v>
      </c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39"/>
      <c r="V85" s="102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3"/>
      <c r="AM85" s="103"/>
      <c r="AN85" s="103"/>
      <c r="AO85" s="103"/>
      <c r="AP85" s="103"/>
      <c r="AQ85" s="103"/>
      <c r="AR85" s="103"/>
      <c r="AS85" s="103"/>
      <c r="AT85" s="103"/>
      <c r="AU85" s="103"/>
      <c r="AV85" s="103"/>
      <c r="AW85" s="103"/>
      <c r="AX85" s="103"/>
      <c r="AY85" s="103"/>
      <c r="AZ85" s="103"/>
      <c r="BA85" s="103"/>
      <c r="BB85" s="103"/>
      <c r="BC85" s="103"/>
      <c r="BD85" s="103"/>
      <c r="BE85" s="103"/>
      <c r="BF85" s="103"/>
      <c r="BG85" s="103"/>
      <c r="BH85" s="103"/>
      <c r="BI85" s="103"/>
      <c r="BJ85" s="103"/>
      <c r="BK85" s="103"/>
      <c r="BL85" s="103"/>
      <c r="BM85" s="103"/>
      <c r="BN85" s="103"/>
      <c r="BO85" s="104"/>
      <c r="BP85" s="23"/>
      <c r="BQ85" s="22"/>
      <c r="BR85" s="105" t="s">
        <v>28</v>
      </c>
      <c r="BS85" s="106"/>
      <c r="BT85" s="106"/>
      <c r="BU85" s="106"/>
      <c r="BV85" s="106"/>
      <c r="BW85" s="106"/>
      <c r="BX85" s="106"/>
      <c r="BY85" s="106"/>
      <c r="BZ85" s="106"/>
      <c r="CA85" s="106"/>
      <c r="CB85" s="106"/>
      <c r="CC85" s="106"/>
      <c r="CD85" s="106"/>
      <c r="CE85" s="106"/>
      <c r="CF85" s="106"/>
      <c r="CG85" s="107"/>
      <c r="CH85" s="138"/>
      <c r="CI85" s="103"/>
      <c r="CJ85" s="103"/>
      <c r="CK85" s="103"/>
      <c r="CL85" s="103"/>
      <c r="CM85" s="103"/>
      <c r="CN85" s="103"/>
      <c r="CO85" s="103"/>
      <c r="CP85" s="103"/>
      <c r="CQ85" s="103"/>
      <c r="CR85" s="103"/>
      <c r="CS85" s="103"/>
      <c r="CT85" s="103"/>
      <c r="CU85" s="103"/>
      <c r="CV85" s="103"/>
      <c r="CW85" s="103"/>
      <c r="CX85" s="103"/>
      <c r="CY85" s="103"/>
      <c r="CZ85" s="103"/>
      <c r="DA85" s="103"/>
      <c r="DB85" s="103"/>
      <c r="DC85" s="103"/>
      <c r="DD85" s="103"/>
      <c r="DE85" s="103"/>
      <c r="DF85" s="103"/>
      <c r="DG85" s="103"/>
      <c r="DH85" s="103"/>
      <c r="DI85" s="104"/>
      <c r="DJ85" s="23"/>
      <c r="DK85" s="22"/>
      <c r="DL85" s="22"/>
      <c r="DM85" s="22"/>
      <c r="DN85" s="13"/>
      <c r="DO85" s="24"/>
    </row>
    <row r="86" spans="1:119" ht="4.5" customHeight="1" x14ac:dyDescent="0.15">
      <c r="A86" s="13"/>
      <c r="B86" s="21"/>
      <c r="C86" s="22"/>
      <c r="D86" s="22"/>
      <c r="E86" s="22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2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2"/>
      <c r="DL86" s="22"/>
      <c r="DM86" s="22"/>
      <c r="DN86" s="13"/>
      <c r="DO86" s="24"/>
    </row>
    <row r="87" spans="1:119" ht="4.5" customHeight="1" x14ac:dyDescent="0.15">
      <c r="A87" s="13"/>
      <c r="B87" s="21"/>
      <c r="C87" s="22"/>
      <c r="D87" s="22"/>
      <c r="E87" s="22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8"/>
      <c r="BS87" s="28"/>
      <c r="BT87" s="28"/>
      <c r="BU87" s="28"/>
      <c r="BV87" s="28"/>
      <c r="BW87" s="28"/>
      <c r="BX87" s="28"/>
      <c r="BY87" s="28"/>
      <c r="BZ87" s="28"/>
      <c r="CA87" s="28"/>
      <c r="CB87" s="28"/>
      <c r="CC87" s="28"/>
      <c r="CD87" s="28"/>
      <c r="CE87" s="28"/>
      <c r="CF87" s="28"/>
      <c r="CG87" s="28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13"/>
      <c r="DO87" s="24"/>
    </row>
    <row r="88" spans="1:119" ht="4.5" customHeight="1" x14ac:dyDescent="0.15">
      <c r="A88" s="13"/>
      <c r="B88" s="21"/>
      <c r="C88" s="22"/>
      <c r="D88" s="22"/>
      <c r="E88" s="22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2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2"/>
      <c r="DL88" s="22"/>
      <c r="DM88" s="22"/>
      <c r="DN88" s="13"/>
      <c r="DO88" s="24"/>
    </row>
    <row r="89" spans="1:119" ht="25.5" customHeight="1" x14ac:dyDescent="0.15">
      <c r="A89" s="13"/>
      <c r="B89" s="21"/>
      <c r="C89" s="22"/>
      <c r="D89" s="22"/>
      <c r="E89" s="22"/>
      <c r="F89" s="108" t="s">
        <v>29</v>
      </c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7"/>
      <c r="V89" s="109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3"/>
      <c r="AM89" s="103"/>
      <c r="AN89" s="103"/>
      <c r="AO89" s="103"/>
      <c r="AP89" s="103"/>
      <c r="AQ89" s="103"/>
      <c r="AR89" s="103"/>
      <c r="AS89" s="103"/>
      <c r="AT89" s="103"/>
      <c r="AU89" s="103"/>
      <c r="AV89" s="103"/>
      <c r="AW89" s="103"/>
      <c r="AX89" s="103"/>
      <c r="AY89" s="103"/>
      <c r="AZ89" s="103"/>
      <c r="BA89" s="103"/>
      <c r="BB89" s="103"/>
      <c r="BC89" s="103"/>
      <c r="BD89" s="103"/>
      <c r="BE89" s="103"/>
      <c r="BF89" s="103"/>
      <c r="BG89" s="103"/>
      <c r="BH89" s="103"/>
      <c r="BI89" s="103"/>
      <c r="BJ89" s="103"/>
      <c r="BK89" s="103"/>
      <c r="BL89" s="103"/>
      <c r="BM89" s="103"/>
      <c r="BN89" s="103"/>
      <c r="BO89" s="104"/>
      <c r="BP89" s="23"/>
      <c r="BQ89" s="22"/>
      <c r="BR89" s="110" t="s">
        <v>30</v>
      </c>
      <c r="BS89" s="106"/>
      <c r="BT89" s="106"/>
      <c r="BU89" s="106"/>
      <c r="BV89" s="106"/>
      <c r="BW89" s="106"/>
      <c r="BX89" s="106"/>
      <c r="BY89" s="106"/>
      <c r="BZ89" s="106"/>
      <c r="CA89" s="106"/>
      <c r="CB89" s="106"/>
      <c r="CC89" s="106"/>
      <c r="CD89" s="106"/>
      <c r="CE89" s="106"/>
      <c r="CF89" s="106"/>
      <c r="CG89" s="107"/>
      <c r="CH89" s="109"/>
      <c r="CI89" s="103"/>
      <c r="CJ89" s="103"/>
      <c r="CK89" s="103"/>
      <c r="CL89" s="103"/>
      <c r="CM89" s="103"/>
      <c r="CN89" s="103"/>
      <c r="CO89" s="103"/>
      <c r="CP89" s="103"/>
      <c r="CQ89" s="103"/>
      <c r="CR89" s="103"/>
      <c r="CS89" s="103"/>
      <c r="CT89" s="103"/>
      <c r="CU89" s="103"/>
      <c r="CV89" s="103"/>
      <c r="CW89" s="103"/>
      <c r="CX89" s="103"/>
      <c r="CY89" s="103"/>
      <c r="CZ89" s="103"/>
      <c r="DA89" s="103"/>
      <c r="DB89" s="103"/>
      <c r="DC89" s="103"/>
      <c r="DD89" s="103"/>
      <c r="DE89" s="103"/>
      <c r="DF89" s="103"/>
      <c r="DG89" s="103"/>
      <c r="DH89" s="103"/>
      <c r="DI89" s="104"/>
      <c r="DJ89" s="23"/>
      <c r="DK89" s="22"/>
      <c r="DL89" s="22"/>
      <c r="DM89" s="22"/>
      <c r="DN89" s="13"/>
      <c r="DO89" s="24"/>
    </row>
    <row r="90" spans="1:119" ht="4.5" customHeight="1" x14ac:dyDescent="0.15">
      <c r="A90" s="13"/>
      <c r="B90" s="21"/>
      <c r="C90" s="22"/>
      <c r="D90" s="22"/>
      <c r="E90" s="22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2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2"/>
      <c r="DL90" s="22"/>
      <c r="DM90" s="22"/>
      <c r="DN90" s="13"/>
      <c r="DO90" s="24"/>
    </row>
    <row r="91" spans="1:119" ht="4.5" customHeight="1" x14ac:dyDescent="0.15">
      <c r="A91" s="13"/>
      <c r="B91" s="21"/>
      <c r="C91" s="22"/>
      <c r="D91" s="22"/>
      <c r="E91" s="22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13"/>
      <c r="DO91" s="24"/>
    </row>
    <row r="92" spans="1:119" ht="4.5" customHeight="1" x14ac:dyDescent="0.15">
      <c r="A92" s="13"/>
      <c r="B92" s="21"/>
      <c r="C92" s="22"/>
      <c r="D92" s="22"/>
      <c r="E92" s="22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2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2"/>
      <c r="DL92" s="22"/>
      <c r="DM92" s="22"/>
      <c r="DN92" s="13"/>
      <c r="DO92" s="24"/>
    </row>
    <row r="93" spans="1:119" ht="25.5" customHeight="1" x14ac:dyDescent="0.15">
      <c r="A93" s="13"/>
      <c r="B93" s="21"/>
      <c r="C93" s="22"/>
      <c r="D93" s="22"/>
      <c r="E93" s="22"/>
      <c r="F93" s="108" t="s">
        <v>31</v>
      </c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7"/>
      <c r="V93" s="109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3"/>
      <c r="AM93" s="103"/>
      <c r="AN93" s="103"/>
      <c r="AO93" s="103"/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3"/>
      <c r="BE93" s="103"/>
      <c r="BF93" s="103"/>
      <c r="BG93" s="103"/>
      <c r="BH93" s="103"/>
      <c r="BI93" s="103"/>
      <c r="BJ93" s="103"/>
      <c r="BK93" s="103"/>
      <c r="BL93" s="103"/>
      <c r="BM93" s="103"/>
      <c r="BN93" s="103"/>
      <c r="BO93" s="104"/>
      <c r="BP93" s="23"/>
      <c r="BQ93" s="22"/>
      <c r="BR93" s="110" t="s">
        <v>32</v>
      </c>
      <c r="BS93" s="106"/>
      <c r="BT93" s="106"/>
      <c r="BU93" s="106"/>
      <c r="BV93" s="106"/>
      <c r="BW93" s="106"/>
      <c r="BX93" s="106"/>
      <c r="BY93" s="106"/>
      <c r="BZ93" s="106"/>
      <c r="CA93" s="106"/>
      <c r="CB93" s="106"/>
      <c r="CC93" s="106"/>
      <c r="CD93" s="106"/>
      <c r="CE93" s="106"/>
      <c r="CF93" s="106"/>
      <c r="CG93" s="107"/>
      <c r="CH93" s="109"/>
      <c r="CI93" s="103"/>
      <c r="CJ93" s="103"/>
      <c r="CK93" s="103"/>
      <c r="CL93" s="103"/>
      <c r="CM93" s="103"/>
      <c r="CN93" s="103"/>
      <c r="CO93" s="103"/>
      <c r="CP93" s="103"/>
      <c r="CQ93" s="103"/>
      <c r="CR93" s="103"/>
      <c r="CS93" s="103"/>
      <c r="CT93" s="103"/>
      <c r="CU93" s="103"/>
      <c r="CV93" s="103"/>
      <c r="CW93" s="103"/>
      <c r="CX93" s="103"/>
      <c r="CY93" s="103"/>
      <c r="CZ93" s="103"/>
      <c r="DA93" s="103"/>
      <c r="DB93" s="103"/>
      <c r="DC93" s="103"/>
      <c r="DD93" s="103"/>
      <c r="DE93" s="103"/>
      <c r="DF93" s="103"/>
      <c r="DG93" s="103"/>
      <c r="DH93" s="103"/>
      <c r="DI93" s="104"/>
      <c r="DJ93" s="23"/>
      <c r="DK93" s="22"/>
      <c r="DL93" s="22"/>
      <c r="DM93" s="22"/>
      <c r="DN93" s="13"/>
      <c r="DO93" s="24"/>
    </row>
    <row r="94" spans="1:119" ht="4.5" customHeight="1" x14ac:dyDescent="0.15">
      <c r="A94" s="13"/>
      <c r="B94" s="21"/>
      <c r="C94" s="22"/>
      <c r="D94" s="22"/>
      <c r="E94" s="22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2"/>
      <c r="BR94" s="57"/>
      <c r="BS94" s="57"/>
      <c r="BT94" s="57"/>
      <c r="BU94" s="57"/>
      <c r="BV94" s="57"/>
      <c r="BW94" s="57"/>
      <c r="BX94" s="57"/>
      <c r="BY94" s="57"/>
      <c r="BZ94" s="57"/>
      <c r="CA94" s="57"/>
      <c r="CB94" s="57"/>
      <c r="CC94" s="57"/>
      <c r="CD94" s="57"/>
      <c r="CE94" s="57"/>
      <c r="CF94" s="57"/>
      <c r="CG94" s="57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2"/>
      <c r="DL94" s="22"/>
      <c r="DM94" s="22"/>
      <c r="DN94" s="13"/>
      <c r="DO94" s="24"/>
    </row>
    <row r="95" spans="1:119" ht="4.5" customHeight="1" x14ac:dyDescent="0.15">
      <c r="A95" s="13"/>
      <c r="B95" s="21"/>
      <c r="C95" s="22"/>
      <c r="D95" s="22"/>
      <c r="E95" s="22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13"/>
      <c r="DO95" s="24"/>
    </row>
    <row r="96" spans="1:119" ht="4.5" customHeight="1" x14ac:dyDescent="0.15">
      <c r="A96" s="13"/>
      <c r="B96" s="21"/>
      <c r="C96" s="22"/>
      <c r="D96" s="22"/>
      <c r="E96" s="22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2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2"/>
      <c r="DL96" s="22"/>
      <c r="DM96" s="22"/>
      <c r="DN96" s="13"/>
      <c r="DO96" s="24"/>
    </row>
    <row r="97" spans="1:119" ht="25.5" customHeight="1" x14ac:dyDescent="0.15">
      <c r="A97" s="13"/>
      <c r="B97" s="21"/>
      <c r="C97" s="22"/>
      <c r="D97" s="22"/>
      <c r="E97" s="22"/>
      <c r="F97" s="108" t="s">
        <v>33</v>
      </c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7"/>
      <c r="V97" s="109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  <c r="AJ97" s="103"/>
      <c r="AK97" s="103"/>
      <c r="AL97" s="103"/>
      <c r="AM97" s="103"/>
      <c r="AN97" s="103"/>
      <c r="AO97" s="103"/>
      <c r="AP97" s="103"/>
      <c r="AQ97" s="103"/>
      <c r="AR97" s="103"/>
      <c r="AS97" s="103"/>
      <c r="AT97" s="103"/>
      <c r="AU97" s="103"/>
      <c r="AV97" s="103"/>
      <c r="AW97" s="103"/>
      <c r="AX97" s="103"/>
      <c r="AY97" s="103"/>
      <c r="AZ97" s="103"/>
      <c r="BA97" s="103"/>
      <c r="BB97" s="103"/>
      <c r="BC97" s="103"/>
      <c r="BD97" s="103"/>
      <c r="BE97" s="103"/>
      <c r="BF97" s="103"/>
      <c r="BG97" s="103"/>
      <c r="BH97" s="103"/>
      <c r="BI97" s="103"/>
      <c r="BJ97" s="103"/>
      <c r="BK97" s="103"/>
      <c r="BL97" s="103"/>
      <c r="BM97" s="103"/>
      <c r="BN97" s="103"/>
      <c r="BO97" s="104"/>
      <c r="BP97" s="23"/>
      <c r="BQ97" s="22"/>
      <c r="BR97" s="110" t="s">
        <v>34</v>
      </c>
      <c r="BS97" s="106"/>
      <c r="BT97" s="106"/>
      <c r="BU97" s="106"/>
      <c r="BV97" s="106"/>
      <c r="BW97" s="106"/>
      <c r="BX97" s="106"/>
      <c r="BY97" s="106"/>
      <c r="BZ97" s="106"/>
      <c r="CA97" s="106"/>
      <c r="CB97" s="106"/>
      <c r="CC97" s="106"/>
      <c r="CD97" s="106"/>
      <c r="CE97" s="106"/>
      <c r="CF97" s="106"/>
      <c r="CG97" s="107"/>
      <c r="CH97" s="109"/>
      <c r="CI97" s="103"/>
      <c r="CJ97" s="103"/>
      <c r="CK97" s="103"/>
      <c r="CL97" s="103"/>
      <c r="CM97" s="103"/>
      <c r="CN97" s="103"/>
      <c r="CO97" s="103"/>
      <c r="CP97" s="103"/>
      <c r="CQ97" s="103"/>
      <c r="CR97" s="103"/>
      <c r="CS97" s="103"/>
      <c r="CT97" s="103"/>
      <c r="CU97" s="103"/>
      <c r="CV97" s="103"/>
      <c r="CW97" s="103"/>
      <c r="CX97" s="103"/>
      <c r="CY97" s="103"/>
      <c r="CZ97" s="103"/>
      <c r="DA97" s="103"/>
      <c r="DB97" s="103"/>
      <c r="DC97" s="103"/>
      <c r="DD97" s="103"/>
      <c r="DE97" s="103"/>
      <c r="DF97" s="103"/>
      <c r="DG97" s="103"/>
      <c r="DH97" s="103"/>
      <c r="DI97" s="104"/>
      <c r="DJ97" s="23"/>
      <c r="DK97" s="22"/>
      <c r="DL97" s="22"/>
      <c r="DM97" s="22"/>
      <c r="DN97" s="13"/>
      <c r="DO97" s="24"/>
    </row>
    <row r="98" spans="1:119" ht="4.5" customHeight="1" x14ac:dyDescent="0.15">
      <c r="A98" s="13"/>
      <c r="B98" s="21"/>
      <c r="C98" s="22"/>
      <c r="D98" s="22"/>
      <c r="E98" s="22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2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2"/>
      <c r="DL98" s="22"/>
      <c r="DM98" s="22"/>
      <c r="DN98" s="13"/>
      <c r="DO98" s="24"/>
    </row>
    <row r="99" spans="1:119" ht="4.5" customHeight="1" x14ac:dyDescent="0.15">
      <c r="A99" s="13"/>
      <c r="B99" s="21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13"/>
      <c r="DO99" s="24"/>
    </row>
    <row r="100" spans="1:119" ht="13.5" customHeight="1" x14ac:dyDescent="0.15">
      <c r="A100" s="13"/>
      <c r="B100" s="21"/>
      <c r="C100" s="22"/>
      <c r="D100" s="22"/>
      <c r="E100" s="22"/>
      <c r="F100" s="111" t="s">
        <v>35</v>
      </c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2"/>
      <c r="BE100" s="112"/>
      <c r="BF100" s="112"/>
      <c r="BG100" s="112"/>
      <c r="BH100" s="112"/>
      <c r="BI100" s="112"/>
      <c r="BJ100" s="112"/>
      <c r="BK100" s="112"/>
      <c r="BL100" s="112"/>
      <c r="BM100" s="112"/>
      <c r="BN100" s="112"/>
      <c r="BO100" s="112"/>
      <c r="BP100" s="112"/>
      <c r="BQ100" s="112"/>
      <c r="BR100" s="112"/>
      <c r="BS100" s="112"/>
      <c r="BT100" s="112"/>
      <c r="BU100" s="112"/>
      <c r="BV100" s="112"/>
      <c r="BW100" s="112"/>
      <c r="BX100" s="112"/>
      <c r="BY100" s="112"/>
      <c r="BZ100" s="112"/>
      <c r="CA100" s="112"/>
      <c r="CB100" s="112"/>
      <c r="CC100" s="112"/>
      <c r="CD100" s="112"/>
      <c r="CE100" s="112"/>
      <c r="CF100" s="112"/>
      <c r="CG100" s="112"/>
      <c r="CH100" s="112"/>
      <c r="CI100" s="112"/>
      <c r="CJ100" s="112"/>
      <c r="CK100" s="112"/>
      <c r="CL100" s="112"/>
      <c r="CM100" s="112"/>
      <c r="CN100" s="112"/>
      <c r="CO100" s="112"/>
      <c r="CP100" s="112"/>
      <c r="CQ100" s="112"/>
      <c r="CR100" s="112"/>
      <c r="CS100" s="112"/>
      <c r="CT100" s="112"/>
      <c r="CU100" s="112"/>
      <c r="CV100" s="112"/>
      <c r="CW100" s="112"/>
      <c r="CX100" s="112"/>
      <c r="CY100" s="112"/>
      <c r="CZ100" s="112"/>
      <c r="DA100" s="112"/>
      <c r="DB100" s="112"/>
      <c r="DC100" s="112"/>
      <c r="DD100" s="112"/>
      <c r="DE100" s="112"/>
      <c r="DF100" s="112"/>
      <c r="DG100" s="112"/>
      <c r="DH100" s="112"/>
      <c r="DI100" s="112"/>
      <c r="DJ100" s="113"/>
      <c r="DK100" s="22"/>
      <c r="DL100" s="22"/>
      <c r="DM100" s="22"/>
      <c r="DN100" s="13"/>
      <c r="DO100" s="24"/>
    </row>
    <row r="101" spans="1:119" ht="4.5" customHeight="1" x14ac:dyDescent="0.15">
      <c r="A101" s="13"/>
      <c r="B101" s="21"/>
      <c r="C101" s="22"/>
      <c r="D101" s="22"/>
      <c r="E101" s="22"/>
      <c r="F101" s="114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15"/>
      <c r="AF101" s="115"/>
      <c r="AG101" s="115"/>
      <c r="AH101" s="115"/>
      <c r="AI101" s="115"/>
      <c r="AJ101" s="115"/>
      <c r="AK101" s="115"/>
      <c r="AL101" s="115"/>
      <c r="AM101" s="115"/>
      <c r="AN101" s="115"/>
      <c r="AO101" s="115"/>
      <c r="AP101" s="115"/>
      <c r="AQ101" s="115"/>
      <c r="AR101" s="115"/>
      <c r="AS101" s="115"/>
      <c r="AT101" s="115"/>
      <c r="AU101" s="115"/>
      <c r="AV101" s="115"/>
      <c r="AW101" s="115"/>
      <c r="AX101" s="115"/>
      <c r="AY101" s="115"/>
      <c r="AZ101" s="115"/>
      <c r="BA101" s="115"/>
      <c r="BB101" s="115"/>
      <c r="BC101" s="115"/>
      <c r="BD101" s="115"/>
      <c r="BE101" s="115"/>
      <c r="BF101" s="115"/>
      <c r="BG101" s="115"/>
      <c r="BH101" s="115"/>
      <c r="BI101" s="115"/>
      <c r="BJ101" s="115"/>
      <c r="BK101" s="115"/>
      <c r="BL101" s="115"/>
      <c r="BM101" s="115"/>
      <c r="BN101" s="115"/>
      <c r="BO101" s="115"/>
      <c r="BP101" s="115"/>
      <c r="BQ101" s="115"/>
      <c r="BR101" s="115"/>
      <c r="BS101" s="115"/>
      <c r="BT101" s="115"/>
      <c r="BU101" s="115"/>
      <c r="BV101" s="115"/>
      <c r="BW101" s="115"/>
      <c r="BX101" s="115"/>
      <c r="BY101" s="115"/>
      <c r="BZ101" s="115"/>
      <c r="CA101" s="115"/>
      <c r="CB101" s="115"/>
      <c r="CC101" s="115"/>
      <c r="CD101" s="115"/>
      <c r="CE101" s="115"/>
      <c r="CF101" s="115"/>
      <c r="CG101" s="115"/>
      <c r="CH101" s="115"/>
      <c r="CI101" s="115"/>
      <c r="CJ101" s="115"/>
      <c r="CK101" s="115"/>
      <c r="CL101" s="115"/>
      <c r="CM101" s="115"/>
      <c r="CN101" s="115"/>
      <c r="CO101" s="115"/>
      <c r="CP101" s="115"/>
      <c r="CQ101" s="115"/>
      <c r="CR101" s="115"/>
      <c r="CS101" s="115"/>
      <c r="CT101" s="115"/>
      <c r="CU101" s="115"/>
      <c r="CV101" s="115"/>
      <c r="CW101" s="115"/>
      <c r="CX101" s="115"/>
      <c r="CY101" s="115"/>
      <c r="CZ101" s="115"/>
      <c r="DA101" s="115"/>
      <c r="DB101" s="115"/>
      <c r="DC101" s="115"/>
      <c r="DD101" s="115"/>
      <c r="DE101" s="115"/>
      <c r="DF101" s="115"/>
      <c r="DG101" s="115"/>
      <c r="DH101" s="115"/>
      <c r="DI101" s="115"/>
      <c r="DJ101" s="116"/>
      <c r="DK101" s="22"/>
      <c r="DL101" s="22"/>
      <c r="DM101" s="22"/>
      <c r="DN101" s="13"/>
      <c r="DO101" s="24"/>
    </row>
    <row r="102" spans="1:119" ht="4.5" customHeight="1" x14ac:dyDescent="0.15">
      <c r="A102" s="13"/>
      <c r="B102" s="21"/>
      <c r="C102" s="22"/>
      <c r="D102" s="22"/>
      <c r="E102" s="22"/>
      <c r="F102" s="58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  <c r="BC102" s="59"/>
      <c r="BD102" s="59"/>
      <c r="BE102" s="59"/>
      <c r="BF102" s="59"/>
      <c r="BG102" s="59"/>
      <c r="BH102" s="59"/>
      <c r="BI102" s="59"/>
      <c r="BJ102" s="59"/>
      <c r="BK102" s="59"/>
      <c r="BL102" s="59"/>
      <c r="BM102" s="59"/>
      <c r="BN102" s="59"/>
      <c r="BO102" s="59"/>
      <c r="BP102" s="59"/>
      <c r="BQ102" s="59"/>
      <c r="BR102" s="59"/>
      <c r="BS102" s="59"/>
      <c r="BT102" s="59"/>
      <c r="BU102" s="59"/>
      <c r="BV102" s="59"/>
      <c r="BW102" s="59"/>
      <c r="BX102" s="59"/>
      <c r="BY102" s="59"/>
      <c r="BZ102" s="59"/>
      <c r="CA102" s="59"/>
      <c r="CB102" s="59"/>
      <c r="CC102" s="59"/>
      <c r="CD102" s="59"/>
      <c r="CE102" s="59"/>
      <c r="CF102" s="59"/>
      <c r="CG102" s="59"/>
      <c r="CH102" s="59"/>
      <c r="CI102" s="59"/>
      <c r="CJ102" s="59"/>
      <c r="CK102" s="59"/>
      <c r="CL102" s="59"/>
      <c r="CM102" s="59"/>
      <c r="CN102" s="59"/>
      <c r="CO102" s="59"/>
      <c r="CP102" s="59"/>
      <c r="CQ102" s="59"/>
      <c r="CR102" s="59"/>
      <c r="CS102" s="59"/>
      <c r="CT102" s="59"/>
      <c r="CU102" s="59"/>
      <c r="CV102" s="59"/>
      <c r="CW102" s="59"/>
      <c r="CX102" s="59"/>
      <c r="CY102" s="59"/>
      <c r="CZ102" s="59"/>
      <c r="DA102" s="59"/>
      <c r="DB102" s="59"/>
      <c r="DC102" s="59"/>
      <c r="DD102" s="59"/>
      <c r="DE102" s="59"/>
      <c r="DF102" s="59"/>
      <c r="DG102" s="59"/>
      <c r="DH102" s="59"/>
      <c r="DI102" s="59"/>
      <c r="DJ102" s="60"/>
      <c r="DK102" s="22"/>
      <c r="DL102" s="22"/>
      <c r="DM102" s="22"/>
      <c r="DN102" s="13"/>
      <c r="DO102" s="24"/>
    </row>
    <row r="103" spans="1:119" ht="4.5" customHeight="1" x14ac:dyDescent="0.15">
      <c r="A103" s="13"/>
      <c r="B103" s="21"/>
      <c r="C103" s="22"/>
      <c r="D103" s="22"/>
      <c r="E103" s="22"/>
      <c r="F103" s="61"/>
      <c r="G103" s="140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  <c r="AH103" s="118"/>
      <c r="AI103" s="118"/>
      <c r="AJ103" s="118"/>
      <c r="AK103" s="118"/>
      <c r="AL103" s="118"/>
      <c r="AM103" s="118"/>
      <c r="AN103" s="118"/>
      <c r="AO103" s="118"/>
      <c r="AP103" s="118"/>
      <c r="AQ103" s="118"/>
      <c r="AR103" s="118"/>
      <c r="AS103" s="118"/>
      <c r="AT103" s="118"/>
      <c r="AU103" s="118"/>
      <c r="AV103" s="118"/>
      <c r="AW103" s="118"/>
      <c r="AX103" s="118"/>
      <c r="AY103" s="118"/>
      <c r="AZ103" s="118"/>
      <c r="BA103" s="118"/>
      <c r="BB103" s="118"/>
      <c r="BC103" s="118"/>
      <c r="BD103" s="118"/>
      <c r="BE103" s="118"/>
      <c r="BF103" s="118"/>
      <c r="BG103" s="118"/>
      <c r="BH103" s="118"/>
      <c r="BI103" s="118"/>
      <c r="BJ103" s="118"/>
      <c r="BK103" s="118"/>
      <c r="BL103" s="118"/>
      <c r="BM103" s="118"/>
      <c r="BN103" s="118"/>
      <c r="BO103" s="118"/>
      <c r="BP103" s="118"/>
      <c r="BQ103" s="118"/>
      <c r="BR103" s="118"/>
      <c r="BS103" s="118"/>
      <c r="BT103" s="118"/>
      <c r="BU103" s="118"/>
      <c r="BV103" s="118"/>
      <c r="BW103" s="118"/>
      <c r="BX103" s="118"/>
      <c r="BY103" s="118"/>
      <c r="BZ103" s="118"/>
      <c r="CA103" s="118"/>
      <c r="CB103" s="118"/>
      <c r="CC103" s="118"/>
      <c r="CD103" s="118"/>
      <c r="CE103" s="118"/>
      <c r="CF103" s="118"/>
      <c r="CG103" s="118"/>
      <c r="CH103" s="118"/>
      <c r="CI103" s="118"/>
      <c r="CJ103" s="118"/>
      <c r="CK103" s="118"/>
      <c r="CL103" s="118"/>
      <c r="CM103" s="118"/>
      <c r="CN103" s="118"/>
      <c r="CO103" s="118"/>
      <c r="CP103" s="118"/>
      <c r="CQ103" s="118"/>
      <c r="CR103" s="118"/>
      <c r="CS103" s="118"/>
      <c r="CT103" s="118"/>
      <c r="CU103" s="118"/>
      <c r="CV103" s="118"/>
      <c r="CW103" s="118"/>
      <c r="CX103" s="118"/>
      <c r="CY103" s="118"/>
      <c r="CZ103" s="118"/>
      <c r="DA103" s="118"/>
      <c r="DB103" s="118"/>
      <c r="DC103" s="118"/>
      <c r="DD103" s="118"/>
      <c r="DE103" s="118"/>
      <c r="DF103" s="118"/>
      <c r="DG103" s="118"/>
      <c r="DH103" s="118"/>
      <c r="DI103" s="118"/>
      <c r="DJ103" s="62"/>
      <c r="DK103" s="22"/>
      <c r="DL103" s="22"/>
      <c r="DM103" s="22"/>
      <c r="DN103" s="13"/>
      <c r="DO103" s="24"/>
    </row>
    <row r="104" spans="1:119" ht="69.75" customHeight="1" x14ac:dyDescent="0.15">
      <c r="A104" s="13"/>
      <c r="B104" s="21"/>
      <c r="C104" s="22"/>
      <c r="D104" s="22"/>
      <c r="E104" s="22"/>
      <c r="F104" s="61"/>
      <c r="G104" s="141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  <c r="AI104" s="118"/>
      <c r="AJ104" s="118"/>
      <c r="AK104" s="118"/>
      <c r="AL104" s="118"/>
      <c r="AM104" s="118"/>
      <c r="AN104" s="118"/>
      <c r="AO104" s="118"/>
      <c r="AP104" s="118"/>
      <c r="AQ104" s="118"/>
      <c r="AR104" s="118"/>
      <c r="AS104" s="118"/>
      <c r="AT104" s="118"/>
      <c r="AU104" s="118"/>
      <c r="AV104" s="118"/>
      <c r="AW104" s="118"/>
      <c r="AX104" s="118"/>
      <c r="AY104" s="118"/>
      <c r="AZ104" s="118"/>
      <c r="BA104" s="118"/>
      <c r="BB104" s="118"/>
      <c r="BC104" s="118"/>
      <c r="BD104" s="118"/>
      <c r="BE104" s="118"/>
      <c r="BF104" s="118"/>
      <c r="BG104" s="118"/>
      <c r="BH104" s="118"/>
      <c r="BI104" s="118"/>
      <c r="BJ104" s="118"/>
      <c r="BK104" s="118"/>
      <c r="BL104" s="118"/>
      <c r="BM104" s="118"/>
      <c r="BN104" s="118"/>
      <c r="BO104" s="118"/>
      <c r="BP104" s="118"/>
      <c r="BQ104" s="118"/>
      <c r="BR104" s="118"/>
      <c r="BS104" s="118"/>
      <c r="BT104" s="118"/>
      <c r="BU104" s="118"/>
      <c r="BV104" s="118"/>
      <c r="BW104" s="118"/>
      <c r="BX104" s="118"/>
      <c r="BY104" s="118"/>
      <c r="BZ104" s="118"/>
      <c r="CA104" s="118"/>
      <c r="CB104" s="118"/>
      <c r="CC104" s="118"/>
      <c r="CD104" s="118"/>
      <c r="CE104" s="118"/>
      <c r="CF104" s="118"/>
      <c r="CG104" s="118"/>
      <c r="CH104" s="118"/>
      <c r="CI104" s="118"/>
      <c r="CJ104" s="118"/>
      <c r="CK104" s="118"/>
      <c r="CL104" s="118"/>
      <c r="CM104" s="118"/>
      <c r="CN104" s="118"/>
      <c r="CO104" s="118"/>
      <c r="CP104" s="118"/>
      <c r="CQ104" s="118"/>
      <c r="CR104" s="118"/>
      <c r="CS104" s="118"/>
      <c r="CT104" s="118"/>
      <c r="CU104" s="118"/>
      <c r="CV104" s="118"/>
      <c r="CW104" s="118"/>
      <c r="CX104" s="118"/>
      <c r="CY104" s="118"/>
      <c r="CZ104" s="118"/>
      <c r="DA104" s="118"/>
      <c r="DB104" s="118"/>
      <c r="DC104" s="118"/>
      <c r="DD104" s="118"/>
      <c r="DE104" s="118"/>
      <c r="DF104" s="118"/>
      <c r="DG104" s="118"/>
      <c r="DH104" s="118"/>
      <c r="DI104" s="118"/>
      <c r="DJ104" s="62"/>
      <c r="DK104" s="22"/>
      <c r="DL104" s="22"/>
      <c r="DM104" s="22"/>
      <c r="DN104" s="13"/>
      <c r="DO104" s="24"/>
    </row>
    <row r="105" spans="1:119" ht="4.5" customHeight="1" x14ac:dyDescent="0.15">
      <c r="A105" s="13"/>
      <c r="B105" s="21"/>
      <c r="C105" s="22"/>
      <c r="D105" s="22"/>
      <c r="E105" s="22"/>
      <c r="F105" s="63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  <c r="BQ105" s="64"/>
      <c r="BR105" s="64"/>
      <c r="BS105" s="64"/>
      <c r="BT105" s="64"/>
      <c r="BU105" s="64"/>
      <c r="BV105" s="64"/>
      <c r="BW105" s="64"/>
      <c r="BX105" s="64"/>
      <c r="BY105" s="64"/>
      <c r="BZ105" s="64"/>
      <c r="CA105" s="64"/>
      <c r="CB105" s="64"/>
      <c r="CC105" s="64"/>
      <c r="CD105" s="64"/>
      <c r="CE105" s="64"/>
      <c r="CF105" s="64"/>
      <c r="CG105" s="64"/>
      <c r="CH105" s="64"/>
      <c r="CI105" s="64"/>
      <c r="CJ105" s="64"/>
      <c r="CK105" s="64"/>
      <c r="CL105" s="64"/>
      <c r="CM105" s="64"/>
      <c r="CN105" s="64"/>
      <c r="CO105" s="64"/>
      <c r="CP105" s="64"/>
      <c r="CQ105" s="64"/>
      <c r="CR105" s="64"/>
      <c r="CS105" s="64"/>
      <c r="CT105" s="64"/>
      <c r="CU105" s="64"/>
      <c r="CV105" s="64"/>
      <c r="CW105" s="64"/>
      <c r="CX105" s="64"/>
      <c r="CY105" s="64"/>
      <c r="CZ105" s="64"/>
      <c r="DA105" s="64"/>
      <c r="DB105" s="64"/>
      <c r="DC105" s="64"/>
      <c r="DD105" s="64"/>
      <c r="DE105" s="64"/>
      <c r="DF105" s="64"/>
      <c r="DG105" s="64"/>
      <c r="DH105" s="64"/>
      <c r="DI105" s="64"/>
      <c r="DJ105" s="65"/>
      <c r="DK105" s="22"/>
      <c r="DL105" s="22"/>
      <c r="DM105" s="22"/>
      <c r="DN105" s="13"/>
      <c r="DO105" s="24"/>
    </row>
    <row r="106" spans="1:119" ht="4.5" customHeight="1" x14ac:dyDescent="0.15">
      <c r="A106" s="13"/>
      <c r="B106" s="21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13"/>
      <c r="DO106" s="24"/>
    </row>
    <row r="107" spans="1:119" ht="13.5" customHeight="1" x14ac:dyDescent="0.15">
      <c r="A107" s="13"/>
      <c r="B107" s="21"/>
      <c r="C107" s="22"/>
      <c r="D107" s="22"/>
      <c r="E107" s="22"/>
      <c r="F107" s="111" t="s">
        <v>36</v>
      </c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2"/>
      <c r="BJ107" s="112"/>
      <c r="BK107" s="112"/>
      <c r="BL107" s="112"/>
      <c r="BM107" s="112"/>
      <c r="BN107" s="112"/>
      <c r="BO107" s="112"/>
      <c r="BP107" s="112"/>
      <c r="BQ107" s="112"/>
      <c r="BR107" s="112"/>
      <c r="BS107" s="112"/>
      <c r="BT107" s="112"/>
      <c r="BU107" s="112"/>
      <c r="BV107" s="112"/>
      <c r="BW107" s="112"/>
      <c r="BX107" s="112"/>
      <c r="BY107" s="112"/>
      <c r="BZ107" s="112"/>
      <c r="CA107" s="112"/>
      <c r="CB107" s="112"/>
      <c r="CC107" s="112"/>
      <c r="CD107" s="112"/>
      <c r="CE107" s="112"/>
      <c r="CF107" s="112"/>
      <c r="CG107" s="112"/>
      <c r="CH107" s="112"/>
      <c r="CI107" s="112"/>
      <c r="CJ107" s="112"/>
      <c r="CK107" s="112"/>
      <c r="CL107" s="112"/>
      <c r="CM107" s="112"/>
      <c r="CN107" s="112"/>
      <c r="CO107" s="112"/>
      <c r="CP107" s="112"/>
      <c r="CQ107" s="112"/>
      <c r="CR107" s="112"/>
      <c r="CS107" s="112"/>
      <c r="CT107" s="112"/>
      <c r="CU107" s="112"/>
      <c r="CV107" s="112"/>
      <c r="CW107" s="112"/>
      <c r="CX107" s="112"/>
      <c r="CY107" s="112"/>
      <c r="CZ107" s="112"/>
      <c r="DA107" s="112"/>
      <c r="DB107" s="112"/>
      <c r="DC107" s="112"/>
      <c r="DD107" s="112"/>
      <c r="DE107" s="112"/>
      <c r="DF107" s="112"/>
      <c r="DG107" s="112"/>
      <c r="DH107" s="112"/>
      <c r="DI107" s="112"/>
      <c r="DJ107" s="113"/>
      <c r="DK107" s="22"/>
      <c r="DL107" s="22"/>
      <c r="DM107" s="22"/>
      <c r="DN107" s="13"/>
      <c r="DO107" s="24"/>
    </row>
    <row r="108" spans="1:119" ht="4.5" customHeight="1" x14ac:dyDescent="0.15">
      <c r="A108" s="13"/>
      <c r="B108" s="21"/>
      <c r="C108" s="22"/>
      <c r="D108" s="22"/>
      <c r="E108" s="22"/>
      <c r="F108" s="114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15"/>
      <c r="AF108" s="115"/>
      <c r="AG108" s="115"/>
      <c r="AH108" s="115"/>
      <c r="AI108" s="115"/>
      <c r="AJ108" s="115"/>
      <c r="AK108" s="115"/>
      <c r="AL108" s="115"/>
      <c r="AM108" s="115"/>
      <c r="AN108" s="115"/>
      <c r="AO108" s="115"/>
      <c r="AP108" s="115"/>
      <c r="AQ108" s="115"/>
      <c r="AR108" s="115"/>
      <c r="AS108" s="115"/>
      <c r="AT108" s="115"/>
      <c r="AU108" s="115"/>
      <c r="AV108" s="115"/>
      <c r="AW108" s="115"/>
      <c r="AX108" s="115"/>
      <c r="AY108" s="115"/>
      <c r="AZ108" s="115"/>
      <c r="BA108" s="115"/>
      <c r="BB108" s="115"/>
      <c r="BC108" s="115"/>
      <c r="BD108" s="115"/>
      <c r="BE108" s="115"/>
      <c r="BF108" s="115"/>
      <c r="BG108" s="115"/>
      <c r="BH108" s="115"/>
      <c r="BI108" s="115"/>
      <c r="BJ108" s="115"/>
      <c r="BK108" s="115"/>
      <c r="BL108" s="115"/>
      <c r="BM108" s="115"/>
      <c r="BN108" s="115"/>
      <c r="BO108" s="115"/>
      <c r="BP108" s="115"/>
      <c r="BQ108" s="115"/>
      <c r="BR108" s="115"/>
      <c r="BS108" s="115"/>
      <c r="BT108" s="115"/>
      <c r="BU108" s="115"/>
      <c r="BV108" s="115"/>
      <c r="BW108" s="115"/>
      <c r="BX108" s="115"/>
      <c r="BY108" s="115"/>
      <c r="BZ108" s="115"/>
      <c r="CA108" s="115"/>
      <c r="CB108" s="115"/>
      <c r="CC108" s="115"/>
      <c r="CD108" s="115"/>
      <c r="CE108" s="115"/>
      <c r="CF108" s="115"/>
      <c r="CG108" s="115"/>
      <c r="CH108" s="115"/>
      <c r="CI108" s="115"/>
      <c r="CJ108" s="115"/>
      <c r="CK108" s="115"/>
      <c r="CL108" s="115"/>
      <c r="CM108" s="115"/>
      <c r="CN108" s="115"/>
      <c r="CO108" s="115"/>
      <c r="CP108" s="115"/>
      <c r="CQ108" s="115"/>
      <c r="CR108" s="115"/>
      <c r="CS108" s="115"/>
      <c r="CT108" s="115"/>
      <c r="CU108" s="115"/>
      <c r="CV108" s="115"/>
      <c r="CW108" s="115"/>
      <c r="CX108" s="115"/>
      <c r="CY108" s="115"/>
      <c r="CZ108" s="115"/>
      <c r="DA108" s="115"/>
      <c r="DB108" s="115"/>
      <c r="DC108" s="115"/>
      <c r="DD108" s="115"/>
      <c r="DE108" s="115"/>
      <c r="DF108" s="115"/>
      <c r="DG108" s="115"/>
      <c r="DH108" s="115"/>
      <c r="DI108" s="115"/>
      <c r="DJ108" s="116"/>
      <c r="DK108" s="22"/>
      <c r="DL108" s="22"/>
      <c r="DM108" s="22"/>
      <c r="DN108" s="13"/>
      <c r="DO108" s="24"/>
    </row>
    <row r="109" spans="1:119" ht="4.5" customHeight="1" x14ac:dyDescent="0.15">
      <c r="A109" s="13"/>
      <c r="B109" s="21"/>
      <c r="C109" s="22"/>
      <c r="D109" s="22"/>
      <c r="E109" s="22"/>
      <c r="F109" s="58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59"/>
      <c r="BV109" s="59"/>
      <c r="BW109" s="59"/>
      <c r="BX109" s="59"/>
      <c r="BY109" s="59"/>
      <c r="BZ109" s="59"/>
      <c r="CA109" s="59"/>
      <c r="CB109" s="59"/>
      <c r="CC109" s="59"/>
      <c r="CD109" s="59"/>
      <c r="CE109" s="59"/>
      <c r="CF109" s="59"/>
      <c r="CG109" s="59"/>
      <c r="CH109" s="59"/>
      <c r="CI109" s="59"/>
      <c r="CJ109" s="59"/>
      <c r="CK109" s="59"/>
      <c r="CL109" s="59"/>
      <c r="CM109" s="59"/>
      <c r="CN109" s="59"/>
      <c r="CO109" s="59"/>
      <c r="CP109" s="59"/>
      <c r="CQ109" s="59"/>
      <c r="CR109" s="59"/>
      <c r="CS109" s="59"/>
      <c r="CT109" s="59"/>
      <c r="CU109" s="59"/>
      <c r="CV109" s="59"/>
      <c r="CW109" s="59"/>
      <c r="CX109" s="59"/>
      <c r="CY109" s="59"/>
      <c r="CZ109" s="59"/>
      <c r="DA109" s="59"/>
      <c r="DB109" s="59"/>
      <c r="DC109" s="59"/>
      <c r="DD109" s="59"/>
      <c r="DE109" s="59"/>
      <c r="DF109" s="59"/>
      <c r="DG109" s="59"/>
      <c r="DH109" s="59"/>
      <c r="DI109" s="59"/>
      <c r="DJ109" s="60"/>
      <c r="DK109" s="22"/>
      <c r="DL109" s="22"/>
      <c r="DM109" s="22"/>
      <c r="DN109" s="13"/>
      <c r="DO109" s="24"/>
    </row>
    <row r="110" spans="1:119" ht="4.5" customHeight="1" x14ac:dyDescent="0.15">
      <c r="A110" s="13"/>
      <c r="B110" s="21"/>
      <c r="C110" s="22"/>
      <c r="D110" s="22"/>
      <c r="E110" s="22"/>
      <c r="F110" s="61"/>
      <c r="G110" s="140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118"/>
      <c r="AK110" s="118"/>
      <c r="AL110" s="118"/>
      <c r="AM110" s="118"/>
      <c r="AN110" s="118"/>
      <c r="AO110" s="118"/>
      <c r="AP110" s="118"/>
      <c r="AQ110" s="118"/>
      <c r="AR110" s="118"/>
      <c r="AS110" s="118"/>
      <c r="AT110" s="118"/>
      <c r="AU110" s="118"/>
      <c r="AV110" s="118"/>
      <c r="AW110" s="118"/>
      <c r="AX110" s="118"/>
      <c r="AY110" s="118"/>
      <c r="AZ110" s="118"/>
      <c r="BA110" s="118"/>
      <c r="BB110" s="118"/>
      <c r="BC110" s="118"/>
      <c r="BD110" s="118"/>
      <c r="BE110" s="118"/>
      <c r="BF110" s="118"/>
      <c r="BG110" s="118"/>
      <c r="BH110" s="118"/>
      <c r="BI110" s="118"/>
      <c r="BJ110" s="118"/>
      <c r="BK110" s="118"/>
      <c r="BL110" s="118"/>
      <c r="BM110" s="118"/>
      <c r="BN110" s="118"/>
      <c r="BO110" s="118"/>
      <c r="BP110" s="118"/>
      <c r="BQ110" s="118"/>
      <c r="BR110" s="118"/>
      <c r="BS110" s="118"/>
      <c r="BT110" s="118"/>
      <c r="BU110" s="118"/>
      <c r="BV110" s="118"/>
      <c r="BW110" s="118"/>
      <c r="BX110" s="118"/>
      <c r="BY110" s="118"/>
      <c r="BZ110" s="118"/>
      <c r="CA110" s="118"/>
      <c r="CB110" s="118"/>
      <c r="CC110" s="118"/>
      <c r="CD110" s="118"/>
      <c r="CE110" s="118"/>
      <c r="CF110" s="118"/>
      <c r="CG110" s="118"/>
      <c r="CH110" s="118"/>
      <c r="CI110" s="118"/>
      <c r="CJ110" s="118"/>
      <c r="CK110" s="118"/>
      <c r="CL110" s="118"/>
      <c r="CM110" s="118"/>
      <c r="CN110" s="118"/>
      <c r="CO110" s="118"/>
      <c r="CP110" s="118"/>
      <c r="CQ110" s="118"/>
      <c r="CR110" s="118"/>
      <c r="CS110" s="118"/>
      <c r="CT110" s="118"/>
      <c r="CU110" s="118"/>
      <c r="CV110" s="118"/>
      <c r="CW110" s="118"/>
      <c r="CX110" s="118"/>
      <c r="CY110" s="118"/>
      <c r="CZ110" s="118"/>
      <c r="DA110" s="118"/>
      <c r="DB110" s="118"/>
      <c r="DC110" s="118"/>
      <c r="DD110" s="118"/>
      <c r="DE110" s="118"/>
      <c r="DF110" s="118"/>
      <c r="DG110" s="118"/>
      <c r="DH110" s="118"/>
      <c r="DI110" s="118"/>
      <c r="DJ110" s="62"/>
      <c r="DK110" s="22"/>
      <c r="DL110" s="22"/>
      <c r="DM110" s="22"/>
      <c r="DN110" s="13"/>
      <c r="DO110" s="24"/>
    </row>
    <row r="111" spans="1:119" ht="69.75" customHeight="1" x14ac:dyDescent="0.15">
      <c r="A111" s="13"/>
      <c r="B111" s="21"/>
      <c r="C111" s="22"/>
      <c r="D111" s="22"/>
      <c r="E111" s="22"/>
      <c r="F111" s="61"/>
      <c r="G111" s="141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  <c r="AH111" s="118"/>
      <c r="AI111" s="118"/>
      <c r="AJ111" s="118"/>
      <c r="AK111" s="118"/>
      <c r="AL111" s="118"/>
      <c r="AM111" s="118"/>
      <c r="AN111" s="118"/>
      <c r="AO111" s="118"/>
      <c r="AP111" s="118"/>
      <c r="AQ111" s="118"/>
      <c r="AR111" s="118"/>
      <c r="AS111" s="118"/>
      <c r="AT111" s="118"/>
      <c r="AU111" s="118"/>
      <c r="AV111" s="118"/>
      <c r="AW111" s="118"/>
      <c r="AX111" s="118"/>
      <c r="AY111" s="118"/>
      <c r="AZ111" s="118"/>
      <c r="BA111" s="118"/>
      <c r="BB111" s="118"/>
      <c r="BC111" s="118"/>
      <c r="BD111" s="118"/>
      <c r="BE111" s="118"/>
      <c r="BF111" s="118"/>
      <c r="BG111" s="118"/>
      <c r="BH111" s="118"/>
      <c r="BI111" s="118"/>
      <c r="BJ111" s="118"/>
      <c r="BK111" s="118"/>
      <c r="BL111" s="118"/>
      <c r="BM111" s="118"/>
      <c r="BN111" s="118"/>
      <c r="BO111" s="118"/>
      <c r="BP111" s="118"/>
      <c r="BQ111" s="118"/>
      <c r="BR111" s="118"/>
      <c r="BS111" s="118"/>
      <c r="BT111" s="118"/>
      <c r="BU111" s="118"/>
      <c r="BV111" s="118"/>
      <c r="BW111" s="118"/>
      <c r="BX111" s="118"/>
      <c r="BY111" s="118"/>
      <c r="BZ111" s="118"/>
      <c r="CA111" s="118"/>
      <c r="CB111" s="118"/>
      <c r="CC111" s="118"/>
      <c r="CD111" s="118"/>
      <c r="CE111" s="118"/>
      <c r="CF111" s="118"/>
      <c r="CG111" s="118"/>
      <c r="CH111" s="118"/>
      <c r="CI111" s="118"/>
      <c r="CJ111" s="118"/>
      <c r="CK111" s="118"/>
      <c r="CL111" s="118"/>
      <c r="CM111" s="118"/>
      <c r="CN111" s="118"/>
      <c r="CO111" s="118"/>
      <c r="CP111" s="118"/>
      <c r="CQ111" s="118"/>
      <c r="CR111" s="118"/>
      <c r="CS111" s="118"/>
      <c r="CT111" s="118"/>
      <c r="CU111" s="118"/>
      <c r="CV111" s="118"/>
      <c r="CW111" s="118"/>
      <c r="CX111" s="118"/>
      <c r="CY111" s="118"/>
      <c r="CZ111" s="118"/>
      <c r="DA111" s="118"/>
      <c r="DB111" s="118"/>
      <c r="DC111" s="118"/>
      <c r="DD111" s="118"/>
      <c r="DE111" s="118"/>
      <c r="DF111" s="118"/>
      <c r="DG111" s="118"/>
      <c r="DH111" s="118"/>
      <c r="DI111" s="118"/>
      <c r="DJ111" s="62"/>
      <c r="DK111" s="22"/>
      <c r="DL111" s="22"/>
      <c r="DM111" s="22"/>
      <c r="DN111" s="13"/>
      <c r="DO111" s="24"/>
    </row>
    <row r="112" spans="1:119" ht="4.5" customHeight="1" x14ac:dyDescent="0.15">
      <c r="A112" s="13"/>
      <c r="B112" s="21"/>
      <c r="C112" s="22"/>
      <c r="D112" s="22"/>
      <c r="E112" s="22"/>
      <c r="F112" s="63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F112" s="64"/>
      <c r="BG112" s="64"/>
      <c r="BH112" s="64"/>
      <c r="BI112" s="64"/>
      <c r="BJ112" s="64"/>
      <c r="BK112" s="64"/>
      <c r="BL112" s="64"/>
      <c r="BM112" s="64"/>
      <c r="BN112" s="64"/>
      <c r="BO112" s="64"/>
      <c r="BP112" s="64"/>
      <c r="BQ112" s="64"/>
      <c r="BR112" s="64"/>
      <c r="BS112" s="64"/>
      <c r="BT112" s="64"/>
      <c r="BU112" s="64"/>
      <c r="BV112" s="64"/>
      <c r="BW112" s="64"/>
      <c r="BX112" s="64"/>
      <c r="BY112" s="64"/>
      <c r="BZ112" s="64"/>
      <c r="CA112" s="64"/>
      <c r="CB112" s="64"/>
      <c r="CC112" s="64"/>
      <c r="CD112" s="64"/>
      <c r="CE112" s="64"/>
      <c r="CF112" s="64"/>
      <c r="CG112" s="64"/>
      <c r="CH112" s="64"/>
      <c r="CI112" s="64"/>
      <c r="CJ112" s="64"/>
      <c r="CK112" s="64"/>
      <c r="CL112" s="64"/>
      <c r="CM112" s="64"/>
      <c r="CN112" s="64"/>
      <c r="CO112" s="64"/>
      <c r="CP112" s="64"/>
      <c r="CQ112" s="64"/>
      <c r="CR112" s="64"/>
      <c r="CS112" s="64"/>
      <c r="CT112" s="64"/>
      <c r="CU112" s="64"/>
      <c r="CV112" s="64"/>
      <c r="CW112" s="64"/>
      <c r="CX112" s="64"/>
      <c r="CY112" s="64"/>
      <c r="CZ112" s="64"/>
      <c r="DA112" s="64"/>
      <c r="DB112" s="64"/>
      <c r="DC112" s="64"/>
      <c r="DD112" s="64"/>
      <c r="DE112" s="64"/>
      <c r="DF112" s="64"/>
      <c r="DG112" s="64"/>
      <c r="DH112" s="64"/>
      <c r="DI112" s="64"/>
      <c r="DJ112" s="65"/>
      <c r="DK112" s="22"/>
      <c r="DL112" s="22"/>
      <c r="DM112" s="22"/>
      <c r="DN112" s="13"/>
      <c r="DO112" s="24"/>
    </row>
    <row r="113" spans="1:706" ht="4.5" customHeight="1" x14ac:dyDescent="0.15">
      <c r="A113" s="13"/>
      <c r="B113" s="21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13"/>
      <c r="DO113" s="24"/>
    </row>
    <row r="114" spans="1:706" ht="13.5" customHeight="1" x14ac:dyDescent="0.15">
      <c r="A114" s="13"/>
      <c r="B114" s="21"/>
      <c r="C114" s="22"/>
      <c r="D114" s="22"/>
      <c r="E114" s="22"/>
      <c r="F114" s="111" t="s">
        <v>37</v>
      </c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2"/>
      <c r="BE114" s="112"/>
      <c r="BF114" s="112"/>
      <c r="BG114" s="112"/>
      <c r="BH114" s="112"/>
      <c r="BI114" s="112"/>
      <c r="BJ114" s="112"/>
      <c r="BK114" s="112"/>
      <c r="BL114" s="112"/>
      <c r="BM114" s="112"/>
      <c r="BN114" s="112"/>
      <c r="BO114" s="112"/>
      <c r="BP114" s="112"/>
      <c r="BQ114" s="112"/>
      <c r="BR114" s="112"/>
      <c r="BS114" s="112"/>
      <c r="BT114" s="112"/>
      <c r="BU114" s="112"/>
      <c r="BV114" s="112"/>
      <c r="BW114" s="112"/>
      <c r="BX114" s="112"/>
      <c r="BY114" s="112"/>
      <c r="BZ114" s="112"/>
      <c r="CA114" s="112"/>
      <c r="CB114" s="112"/>
      <c r="CC114" s="112"/>
      <c r="CD114" s="112"/>
      <c r="CE114" s="112"/>
      <c r="CF114" s="112"/>
      <c r="CG114" s="112"/>
      <c r="CH114" s="112"/>
      <c r="CI114" s="112"/>
      <c r="CJ114" s="112"/>
      <c r="CK114" s="112"/>
      <c r="CL114" s="112"/>
      <c r="CM114" s="112"/>
      <c r="CN114" s="112"/>
      <c r="CO114" s="112"/>
      <c r="CP114" s="112"/>
      <c r="CQ114" s="112"/>
      <c r="CR114" s="112"/>
      <c r="CS114" s="112"/>
      <c r="CT114" s="112"/>
      <c r="CU114" s="112"/>
      <c r="CV114" s="112"/>
      <c r="CW114" s="112"/>
      <c r="CX114" s="112"/>
      <c r="CY114" s="112"/>
      <c r="CZ114" s="112"/>
      <c r="DA114" s="112"/>
      <c r="DB114" s="112"/>
      <c r="DC114" s="112"/>
      <c r="DD114" s="112"/>
      <c r="DE114" s="112"/>
      <c r="DF114" s="112"/>
      <c r="DG114" s="112"/>
      <c r="DH114" s="112"/>
      <c r="DI114" s="112"/>
      <c r="DJ114" s="113"/>
      <c r="DK114" s="22"/>
      <c r="DL114" s="22"/>
      <c r="DM114" s="22"/>
      <c r="DN114" s="13"/>
      <c r="DO114" s="24"/>
    </row>
    <row r="115" spans="1:706" ht="4.5" customHeight="1" x14ac:dyDescent="0.15">
      <c r="A115" s="13"/>
      <c r="B115" s="21"/>
      <c r="C115" s="22"/>
      <c r="D115" s="22"/>
      <c r="E115" s="22"/>
      <c r="F115" s="114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15"/>
      <c r="AF115" s="115"/>
      <c r="AG115" s="115"/>
      <c r="AH115" s="115"/>
      <c r="AI115" s="115"/>
      <c r="AJ115" s="115"/>
      <c r="AK115" s="115"/>
      <c r="AL115" s="115"/>
      <c r="AM115" s="115"/>
      <c r="AN115" s="115"/>
      <c r="AO115" s="115"/>
      <c r="AP115" s="115"/>
      <c r="AQ115" s="115"/>
      <c r="AR115" s="115"/>
      <c r="AS115" s="115"/>
      <c r="AT115" s="115"/>
      <c r="AU115" s="115"/>
      <c r="AV115" s="115"/>
      <c r="AW115" s="115"/>
      <c r="AX115" s="115"/>
      <c r="AY115" s="115"/>
      <c r="AZ115" s="115"/>
      <c r="BA115" s="115"/>
      <c r="BB115" s="115"/>
      <c r="BC115" s="115"/>
      <c r="BD115" s="115"/>
      <c r="BE115" s="115"/>
      <c r="BF115" s="115"/>
      <c r="BG115" s="115"/>
      <c r="BH115" s="115"/>
      <c r="BI115" s="115"/>
      <c r="BJ115" s="115"/>
      <c r="BK115" s="115"/>
      <c r="BL115" s="115"/>
      <c r="BM115" s="115"/>
      <c r="BN115" s="115"/>
      <c r="BO115" s="115"/>
      <c r="BP115" s="115"/>
      <c r="BQ115" s="115"/>
      <c r="BR115" s="115"/>
      <c r="BS115" s="115"/>
      <c r="BT115" s="115"/>
      <c r="BU115" s="115"/>
      <c r="BV115" s="115"/>
      <c r="BW115" s="115"/>
      <c r="BX115" s="115"/>
      <c r="BY115" s="115"/>
      <c r="BZ115" s="115"/>
      <c r="CA115" s="115"/>
      <c r="CB115" s="115"/>
      <c r="CC115" s="115"/>
      <c r="CD115" s="115"/>
      <c r="CE115" s="115"/>
      <c r="CF115" s="115"/>
      <c r="CG115" s="115"/>
      <c r="CH115" s="115"/>
      <c r="CI115" s="115"/>
      <c r="CJ115" s="115"/>
      <c r="CK115" s="115"/>
      <c r="CL115" s="115"/>
      <c r="CM115" s="115"/>
      <c r="CN115" s="115"/>
      <c r="CO115" s="115"/>
      <c r="CP115" s="115"/>
      <c r="CQ115" s="115"/>
      <c r="CR115" s="115"/>
      <c r="CS115" s="115"/>
      <c r="CT115" s="115"/>
      <c r="CU115" s="115"/>
      <c r="CV115" s="115"/>
      <c r="CW115" s="115"/>
      <c r="CX115" s="115"/>
      <c r="CY115" s="115"/>
      <c r="CZ115" s="115"/>
      <c r="DA115" s="115"/>
      <c r="DB115" s="115"/>
      <c r="DC115" s="115"/>
      <c r="DD115" s="115"/>
      <c r="DE115" s="115"/>
      <c r="DF115" s="115"/>
      <c r="DG115" s="115"/>
      <c r="DH115" s="115"/>
      <c r="DI115" s="115"/>
      <c r="DJ115" s="116"/>
      <c r="DK115" s="22"/>
      <c r="DL115" s="22"/>
      <c r="DM115" s="22"/>
      <c r="DN115" s="13"/>
      <c r="DO115" s="24"/>
    </row>
    <row r="116" spans="1:706" ht="4.5" customHeight="1" x14ac:dyDescent="0.15">
      <c r="A116" s="13"/>
      <c r="B116" s="21"/>
      <c r="C116" s="22"/>
      <c r="D116" s="22"/>
      <c r="E116" s="22"/>
      <c r="F116" s="58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59"/>
      <c r="BB116" s="59"/>
      <c r="BC116" s="59"/>
      <c r="BD116" s="59"/>
      <c r="BE116" s="59"/>
      <c r="BF116" s="59"/>
      <c r="BG116" s="59"/>
      <c r="BH116" s="59"/>
      <c r="BI116" s="59"/>
      <c r="BJ116" s="59"/>
      <c r="BK116" s="59"/>
      <c r="BL116" s="59"/>
      <c r="BM116" s="59"/>
      <c r="BN116" s="59"/>
      <c r="BO116" s="59"/>
      <c r="BP116" s="59"/>
      <c r="BQ116" s="59"/>
      <c r="BR116" s="59"/>
      <c r="BS116" s="59"/>
      <c r="BT116" s="59"/>
      <c r="BU116" s="59"/>
      <c r="BV116" s="59"/>
      <c r="BW116" s="59"/>
      <c r="BX116" s="59"/>
      <c r="BY116" s="59"/>
      <c r="BZ116" s="59"/>
      <c r="CA116" s="59"/>
      <c r="CB116" s="59"/>
      <c r="CC116" s="59"/>
      <c r="CD116" s="59"/>
      <c r="CE116" s="59"/>
      <c r="CF116" s="59"/>
      <c r="CG116" s="59"/>
      <c r="CH116" s="59"/>
      <c r="CI116" s="59"/>
      <c r="CJ116" s="59"/>
      <c r="CK116" s="59"/>
      <c r="CL116" s="59"/>
      <c r="CM116" s="59"/>
      <c r="CN116" s="59"/>
      <c r="CO116" s="59"/>
      <c r="CP116" s="59"/>
      <c r="CQ116" s="59"/>
      <c r="CR116" s="59"/>
      <c r="CS116" s="59"/>
      <c r="CT116" s="59"/>
      <c r="CU116" s="59"/>
      <c r="CV116" s="59"/>
      <c r="CW116" s="59"/>
      <c r="CX116" s="59"/>
      <c r="CY116" s="59"/>
      <c r="CZ116" s="59"/>
      <c r="DA116" s="59"/>
      <c r="DB116" s="59"/>
      <c r="DC116" s="59"/>
      <c r="DD116" s="59"/>
      <c r="DE116" s="59"/>
      <c r="DF116" s="59"/>
      <c r="DG116" s="59"/>
      <c r="DH116" s="59"/>
      <c r="DI116" s="59"/>
      <c r="DJ116" s="60"/>
      <c r="DK116" s="22"/>
      <c r="DL116" s="22"/>
      <c r="DM116" s="22"/>
      <c r="DN116" s="13"/>
      <c r="DO116" s="24"/>
    </row>
    <row r="117" spans="1:706" ht="4.5" customHeight="1" x14ac:dyDescent="0.15">
      <c r="A117" s="13"/>
      <c r="B117" s="21"/>
      <c r="C117" s="22"/>
      <c r="D117" s="22"/>
      <c r="E117" s="22"/>
      <c r="F117" s="61"/>
      <c r="G117" s="140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  <c r="AH117" s="118"/>
      <c r="AI117" s="118"/>
      <c r="AJ117" s="118"/>
      <c r="AK117" s="118"/>
      <c r="AL117" s="118"/>
      <c r="AM117" s="118"/>
      <c r="AN117" s="118"/>
      <c r="AO117" s="118"/>
      <c r="AP117" s="118"/>
      <c r="AQ117" s="118"/>
      <c r="AR117" s="118"/>
      <c r="AS117" s="118"/>
      <c r="AT117" s="118"/>
      <c r="AU117" s="118"/>
      <c r="AV117" s="118"/>
      <c r="AW117" s="118"/>
      <c r="AX117" s="118"/>
      <c r="AY117" s="118"/>
      <c r="AZ117" s="118"/>
      <c r="BA117" s="118"/>
      <c r="BB117" s="118"/>
      <c r="BC117" s="118"/>
      <c r="BD117" s="118"/>
      <c r="BE117" s="118"/>
      <c r="BF117" s="118"/>
      <c r="BG117" s="118"/>
      <c r="BH117" s="118"/>
      <c r="BI117" s="118"/>
      <c r="BJ117" s="118"/>
      <c r="BK117" s="118"/>
      <c r="BL117" s="118"/>
      <c r="BM117" s="118"/>
      <c r="BN117" s="118"/>
      <c r="BO117" s="118"/>
      <c r="BP117" s="118"/>
      <c r="BQ117" s="118"/>
      <c r="BR117" s="118"/>
      <c r="BS117" s="118"/>
      <c r="BT117" s="118"/>
      <c r="BU117" s="118"/>
      <c r="BV117" s="118"/>
      <c r="BW117" s="118"/>
      <c r="BX117" s="118"/>
      <c r="BY117" s="118"/>
      <c r="BZ117" s="118"/>
      <c r="CA117" s="118"/>
      <c r="CB117" s="118"/>
      <c r="CC117" s="118"/>
      <c r="CD117" s="118"/>
      <c r="CE117" s="118"/>
      <c r="CF117" s="118"/>
      <c r="CG117" s="118"/>
      <c r="CH117" s="118"/>
      <c r="CI117" s="118"/>
      <c r="CJ117" s="118"/>
      <c r="CK117" s="118"/>
      <c r="CL117" s="118"/>
      <c r="CM117" s="118"/>
      <c r="CN117" s="118"/>
      <c r="CO117" s="118"/>
      <c r="CP117" s="118"/>
      <c r="CQ117" s="118"/>
      <c r="CR117" s="118"/>
      <c r="CS117" s="118"/>
      <c r="CT117" s="118"/>
      <c r="CU117" s="118"/>
      <c r="CV117" s="118"/>
      <c r="CW117" s="118"/>
      <c r="CX117" s="118"/>
      <c r="CY117" s="118"/>
      <c r="CZ117" s="118"/>
      <c r="DA117" s="118"/>
      <c r="DB117" s="118"/>
      <c r="DC117" s="118"/>
      <c r="DD117" s="118"/>
      <c r="DE117" s="118"/>
      <c r="DF117" s="118"/>
      <c r="DG117" s="118"/>
      <c r="DH117" s="118"/>
      <c r="DI117" s="118"/>
      <c r="DJ117" s="62"/>
      <c r="DK117" s="22"/>
      <c r="DL117" s="22"/>
      <c r="DM117" s="22"/>
      <c r="DN117" s="13"/>
      <c r="DO117" s="24"/>
    </row>
    <row r="118" spans="1:706" ht="289.5" customHeight="1" x14ac:dyDescent="0.15">
      <c r="A118" s="13"/>
      <c r="B118" s="21"/>
      <c r="C118" s="22"/>
      <c r="D118" s="22"/>
      <c r="E118" s="22"/>
      <c r="F118" s="61"/>
      <c r="G118" s="217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  <c r="AI118" s="118"/>
      <c r="AJ118" s="118"/>
      <c r="AK118" s="118"/>
      <c r="AL118" s="118"/>
      <c r="AM118" s="118"/>
      <c r="AN118" s="118"/>
      <c r="AO118" s="118"/>
      <c r="AP118" s="118"/>
      <c r="AQ118" s="118"/>
      <c r="AR118" s="118"/>
      <c r="AS118" s="118"/>
      <c r="AT118" s="118"/>
      <c r="AU118" s="118"/>
      <c r="AV118" s="118"/>
      <c r="AW118" s="118"/>
      <c r="AX118" s="118"/>
      <c r="AY118" s="118"/>
      <c r="AZ118" s="118"/>
      <c r="BA118" s="118"/>
      <c r="BB118" s="118"/>
      <c r="BC118" s="118"/>
      <c r="BD118" s="118"/>
      <c r="BE118" s="118"/>
      <c r="BF118" s="118"/>
      <c r="BG118" s="118"/>
      <c r="BH118" s="118"/>
      <c r="BI118" s="118"/>
      <c r="BJ118" s="118"/>
      <c r="BK118" s="118"/>
      <c r="BL118" s="118"/>
      <c r="BM118" s="118"/>
      <c r="BN118" s="118"/>
      <c r="BO118" s="118"/>
      <c r="BP118" s="118"/>
      <c r="BQ118" s="118"/>
      <c r="BR118" s="118"/>
      <c r="BS118" s="118"/>
      <c r="BT118" s="118"/>
      <c r="BU118" s="118"/>
      <c r="BV118" s="118"/>
      <c r="BW118" s="118"/>
      <c r="BX118" s="118"/>
      <c r="BY118" s="118"/>
      <c r="BZ118" s="118"/>
      <c r="CA118" s="118"/>
      <c r="CB118" s="118"/>
      <c r="CC118" s="118"/>
      <c r="CD118" s="118"/>
      <c r="CE118" s="118"/>
      <c r="CF118" s="118"/>
      <c r="CG118" s="118"/>
      <c r="CH118" s="118"/>
      <c r="CI118" s="118"/>
      <c r="CJ118" s="118"/>
      <c r="CK118" s="118"/>
      <c r="CL118" s="118"/>
      <c r="CM118" s="118"/>
      <c r="CN118" s="118"/>
      <c r="CO118" s="118"/>
      <c r="CP118" s="118"/>
      <c r="CQ118" s="118"/>
      <c r="CR118" s="118"/>
      <c r="CS118" s="118"/>
      <c r="CT118" s="118"/>
      <c r="CU118" s="118"/>
      <c r="CV118" s="118"/>
      <c r="CW118" s="118"/>
      <c r="CX118" s="118"/>
      <c r="CY118" s="118"/>
      <c r="CZ118" s="118"/>
      <c r="DA118" s="118"/>
      <c r="DB118" s="118"/>
      <c r="DC118" s="118"/>
      <c r="DD118" s="118"/>
      <c r="DE118" s="118"/>
      <c r="DF118" s="118"/>
      <c r="DG118" s="118"/>
      <c r="DH118" s="118"/>
      <c r="DI118" s="118"/>
      <c r="DJ118" s="62"/>
      <c r="DK118" s="22"/>
      <c r="DL118" s="22"/>
      <c r="DM118" s="22"/>
      <c r="DN118" s="13"/>
      <c r="DO118" s="24"/>
    </row>
    <row r="119" spans="1:706" ht="4.5" customHeight="1" x14ac:dyDescent="0.15">
      <c r="A119" s="13"/>
      <c r="B119" s="21"/>
      <c r="C119" s="22"/>
      <c r="D119" s="22"/>
      <c r="E119" s="22"/>
      <c r="F119" s="63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  <c r="BB119" s="64"/>
      <c r="BC119" s="64"/>
      <c r="BD119" s="64"/>
      <c r="BE119" s="64"/>
      <c r="BF119" s="64"/>
      <c r="BG119" s="64"/>
      <c r="BH119" s="64"/>
      <c r="BI119" s="64"/>
      <c r="BJ119" s="64"/>
      <c r="BK119" s="64"/>
      <c r="BL119" s="64"/>
      <c r="BM119" s="64"/>
      <c r="BN119" s="64"/>
      <c r="BO119" s="64"/>
      <c r="BP119" s="64"/>
      <c r="BQ119" s="64"/>
      <c r="BR119" s="64"/>
      <c r="BS119" s="64"/>
      <c r="BT119" s="64"/>
      <c r="BU119" s="64"/>
      <c r="BV119" s="64"/>
      <c r="BW119" s="64"/>
      <c r="BX119" s="64"/>
      <c r="BY119" s="64"/>
      <c r="BZ119" s="64"/>
      <c r="CA119" s="64"/>
      <c r="CB119" s="64"/>
      <c r="CC119" s="64"/>
      <c r="CD119" s="64"/>
      <c r="CE119" s="64"/>
      <c r="CF119" s="64"/>
      <c r="CG119" s="64"/>
      <c r="CH119" s="64"/>
      <c r="CI119" s="64"/>
      <c r="CJ119" s="64"/>
      <c r="CK119" s="64"/>
      <c r="CL119" s="64"/>
      <c r="CM119" s="64"/>
      <c r="CN119" s="64"/>
      <c r="CO119" s="64"/>
      <c r="CP119" s="64"/>
      <c r="CQ119" s="64"/>
      <c r="CR119" s="64"/>
      <c r="CS119" s="64"/>
      <c r="CT119" s="64"/>
      <c r="CU119" s="64"/>
      <c r="CV119" s="64"/>
      <c r="CW119" s="64"/>
      <c r="CX119" s="64"/>
      <c r="CY119" s="64"/>
      <c r="CZ119" s="64"/>
      <c r="DA119" s="64"/>
      <c r="DB119" s="64"/>
      <c r="DC119" s="64"/>
      <c r="DD119" s="64"/>
      <c r="DE119" s="64"/>
      <c r="DF119" s="64"/>
      <c r="DG119" s="64"/>
      <c r="DH119" s="64"/>
      <c r="DI119" s="64"/>
      <c r="DJ119" s="65"/>
      <c r="DK119" s="22"/>
      <c r="DL119" s="22"/>
      <c r="DM119" s="22"/>
      <c r="DN119" s="13"/>
      <c r="DO119" s="24"/>
    </row>
    <row r="120" spans="1:706" ht="4.5" customHeight="1" x14ac:dyDescent="0.15">
      <c r="A120" s="13"/>
      <c r="B120" s="21"/>
      <c r="C120" s="22"/>
      <c r="D120" s="22"/>
      <c r="E120" s="22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  <c r="CS120" s="31"/>
      <c r="CT120" s="31"/>
      <c r="CU120" s="31"/>
      <c r="CV120" s="31"/>
      <c r="CW120" s="31"/>
      <c r="CX120" s="31"/>
      <c r="CY120" s="31"/>
      <c r="CZ120" s="31"/>
      <c r="DA120" s="31"/>
      <c r="DB120" s="31"/>
      <c r="DC120" s="31"/>
      <c r="DD120" s="31"/>
      <c r="DE120" s="31"/>
      <c r="DF120" s="31"/>
      <c r="DG120" s="31"/>
      <c r="DH120" s="31"/>
      <c r="DI120" s="31"/>
      <c r="DJ120" s="31"/>
      <c r="DK120" s="22"/>
      <c r="DL120" s="22"/>
      <c r="DM120" s="22"/>
      <c r="DN120" s="13"/>
      <c r="DO120" s="24"/>
    </row>
    <row r="121" spans="1:706" ht="9.75" customHeight="1" x14ac:dyDescent="0.15">
      <c r="A121" s="13"/>
      <c r="B121" s="21"/>
      <c r="C121" s="22"/>
      <c r="D121" s="22"/>
      <c r="E121" s="22"/>
      <c r="F121" s="218" t="s">
        <v>38</v>
      </c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  <c r="AI121" s="106"/>
      <c r="AJ121" s="106"/>
      <c r="AK121" s="106"/>
      <c r="AL121" s="106"/>
      <c r="AM121" s="106"/>
      <c r="AN121" s="106"/>
      <c r="AO121" s="106"/>
      <c r="AP121" s="106"/>
      <c r="AQ121" s="106"/>
      <c r="AR121" s="106"/>
      <c r="AS121" s="106"/>
      <c r="AT121" s="106"/>
      <c r="AU121" s="106"/>
      <c r="AV121" s="106"/>
      <c r="AW121" s="106"/>
      <c r="AX121" s="106"/>
      <c r="AY121" s="106"/>
      <c r="AZ121" s="106"/>
      <c r="BA121" s="106"/>
      <c r="BB121" s="106"/>
      <c r="BC121" s="106"/>
      <c r="BD121" s="106"/>
      <c r="BE121" s="106"/>
      <c r="BF121" s="106"/>
      <c r="BG121" s="106"/>
      <c r="BH121" s="106"/>
      <c r="BI121" s="106"/>
      <c r="BJ121" s="106"/>
      <c r="BK121" s="106"/>
      <c r="BL121" s="106"/>
      <c r="BM121" s="106"/>
      <c r="BN121" s="106"/>
      <c r="BO121" s="106"/>
      <c r="BP121" s="106"/>
      <c r="BQ121" s="106"/>
      <c r="BR121" s="106"/>
      <c r="BS121" s="106"/>
      <c r="BT121" s="106"/>
      <c r="BU121" s="106"/>
      <c r="BV121" s="106"/>
      <c r="BW121" s="106"/>
      <c r="BX121" s="106"/>
      <c r="BY121" s="106"/>
      <c r="BZ121" s="106"/>
      <c r="CA121" s="106"/>
      <c r="CB121" s="106"/>
      <c r="CC121" s="106"/>
      <c r="CD121" s="106"/>
      <c r="CE121" s="106"/>
      <c r="CF121" s="106"/>
      <c r="CG121" s="106"/>
      <c r="CH121" s="106"/>
      <c r="CI121" s="106"/>
      <c r="CJ121" s="106"/>
      <c r="CK121" s="106"/>
      <c r="CL121" s="106"/>
      <c r="CM121" s="106"/>
      <c r="CN121" s="106"/>
      <c r="CO121" s="106"/>
      <c r="CP121" s="106"/>
      <c r="CQ121" s="106"/>
      <c r="CR121" s="106"/>
      <c r="CS121" s="106"/>
      <c r="CT121" s="106"/>
      <c r="CU121" s="106"/>
      <c r="CV121" s="106"/>
      <c r="CW121" s="106"/>
      <c r="CX121" s="106"/>
      <c r="CY121" s="106"/>
      <c r="CZ121" s="106"/>
      <c r="DA121" s="106"/>
      <c r="DB121" s="106"/>
      <c r="DC121" s="106"/>
      <c r="DD121" s="106"/>
      <c r="DE121" s="106"/>
      <c r="DF121" s="106"/>
      <c r="DG121" s="106"/>
      <c r="DH121" s="106"/>
      <c r="DI121" s="106"/>
      <c r="DJ121" s="107"/>
      <c r="DK121" s="22"/>
      <c r="DL121" s="22"/>
      <c r="DM121" s="22"/>
      <c r="DN121" s="13"/>
      <c r="DO121" s="24"/>
    </row>
    <row r="122" spans="1:706" ht="4.5" customHeight="1" x14ac:dyDescent="0.15">
      <c r="DN122" s="13"/>
    </row>
    <row r="123" spans="1:706" ht="4.5" customHeight="1" x14ac:dyDescent="0.15">
      <c r="B123" s="13"/>
      <c r="DN123" s="13"/>
    </row>
    <row r="124" spans="1:706" ht="15" customHeight="1" x14ac:dyDescent="0.15">
      <c r="A124" s="4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  <c r="IW124" s="4"/>
      <c r="IX124" s="4"/>
      <c r="IY124" s="4"/>
      <c r="IZ124" s="4"/>
      <c r="JA124" s="4"/>
      <c r="JB124" s="4"/>
      <c r="JC124" s="4"/>
      <c r="JD124" s="4"/>
      <c r="JE124" s="4"/>
      <c r="JF124" s="4"/>
      <c r="JG124" s="4"/>
      <c r="JH124" s="4"/>
      <c r="JI124" s="4"/>
      <c r="JJ124" s="4"/>
      <c r="JK124" s="4"/>
      <c r="JL124" s="4"/>
      <c r="JM124" s="4"/>
      <c r="JN124" s="4"/>
      <c r="JO124" s="4"/>
      <c r="JP124" s="4"/>
      <c r="JQ124" s="4"/>
      <c r="JR124" s="4"/>
      <c r="JS124" s="4"/>
      <c r="JT124" s="4"/>
      <c r="JU124" s="4"/>
      <c r="JV124" s="4"/>
      <c r="JW124" s="4"/>
      <c r="JX124" s="4"/>
      <c r="JY124" s="4"/>
      <c r="JZ124" s="4"/>
      <c r="KA124" s="4"/>
      <c r="KB124" s="4"/>
      <c r="KC124" s="4"/>
      <c r="KD124" s="4"/>
      <c r="KE124" s="4"/>
      <c r="KF124" s="4"/>
      <c r="KG124" s="4"/>
      <c r="KH124" s="4"/>
      <c r="KI124" s="4"/>
      <c r="KJ124" s="4"/>
      <c r="KK124" s="4"/>
      <c r="KL124" s="4"/>
      <c r="KM124" s="4"/>
      <c r="KN124" s="4"/>
      <c r="KO124" s="4"/>
      <c r="KP124" s="4"/>
      <c r="KQ124" s="4"/>
      <c r="KR124" s="4"/>
      <c r="KS124" s="4"/>
      <c r="KT124" s="4"/>
      <c r="KU124" s="4"/>
      <c r="KV124" s="4"/>
      <c r="KW124" s="4"/>
      <c r="KX124" s="4"/>
      <c r="KY124" s="4"/>
      <c r="KZ124" s="4"/>
      <c r="LA124" s="4"/>
      <c r="LB124" s="4"/>
      <c r="LC124" s="4"/>
      <c r="LD124" s="4"/>
      <c r="LE124" s="4"/>
      <c r="LF124" s="4"/>
      <c r="LG124" s="4"/>
      <c r="LH124" s="4"/>
      <c r="LI124" s="4"/>
      <c r="LJ124" s="4"/>
      <c r="LK124" s="4"/>
      <c r="LL124" s="4"/>
      <c r="LM124" s="4"/>
      <c r="LN124" s="4"/>
      <c r="LO124" s="4"/>
      <c r="LP124" s="4"/>
      <c r="LQ124" s="4"/>
      <c r="LR124" s="4"/>
      <c r="LS124" s="4"/>
      <c r="LT124" s="4"/>
      <c r="LU124" s="4"/>
      <c r="LV124" s="4"/>
      <c r="LW124" s="4"/>
      <c r="LX124" s="4"/>
      <c r="LY124" s="4"/>
      <c r="LZ124" s="4"/>
      <c r="MA124" s="4"/>
      <c r="MB124" s="4"/>
      <c r="MC124" s="4"/>
      <c r="MD124" s="4"/>
      <c r="ME124" s="4"/>
      <c r="MF124" s="4"/>
      <c r="MG124" s="4"/>
      <c r="MH124" s="4"/>
      <c r="MI124" s="4"/>
      <c r="MJ124" s="4"/>
      <c r="MK124" s="4"/>
      <c r="ML124" s="4"/>
      <c r="MM124" s="4"/>
      <c r="MN124" s="4"/>
      <c r="MO124" s="4"/>
      <c r="MP124" s="4"/>
      <c r="MQ124" s="4"/>
      <c r="MR124" s="4"/>
      <c r="MS124" s="4"/>
      <c r="MT124" s="4"/>
      <c r="MU124" s="4"/>
      <c r="MV124" s="4"/>
      <c r="MW124" s="4"/>
      <c r="MX124" s="4"/>
      <c r="MY124" s="4"/>
      <c r="MZ124" s="4"/>
      <c r="NA124" s="4"/>
      <c r="NB124" s="4"/>
      <c r="NC124" s="4"/>
      <c r="ND124" s="4"/>
      <c r="NE124" s="4"/>
      <c r="NF124" s="4"/>
      <c r="NG124" s="4"/>
      <c r="NH124" s="4"/>
      <c r="NI124" s="4"/>
      <c r="NJ124" s="4"/>
      <c r="NK124" s="4"/>
      <c r="NL124" s="4"/>
      <c r="NM124" s="4"/>
      <c r="NN124" s="4"/>
      <c r="NO124" s="4"/>
      <c r="NP124" s="4"/>
      <c r="NQ124" s="4"/>
      <c r="NR124" s="4"/>
      <c r="NS124" s="4"/>
      <c r="NT124" s="4"/>
      <c r="NU124" s="4"/>
      <c r="NV124" s="4"/>
      <c r="NW124" s="4"/>
      <c r="NX124" s="4"/>
      <c r="NY124" s="4"/>
      <c r="NZ124" s="4"/>
      <c r="OA124" s="4"/>
      <c r="OB124" s="4"/>
      <c r="OC124" s="4"/>
      <c r="OD124" s="4"/>
      <c r="OE124" s="4"/>
      <c r="OF124" s="4"/>
      <c r="OG124" s="4"/>
      <c r="OH124" s="4"/>
      <c r="OI124" s="4"/>
      <c r="OJ124" s="4"/>
      <c r="OK124" s="4"/>
      <c r="OL124" s="4"/>
      <c r="OM124" s="4"/>
      <c r="ON124" s="4"/>
      <c r="OO124" s="4"/>
      <c r="OP124" s="4"/>
      <c r="OQ124" s="4"/>
      <c r="OR124" s="4"/>
      <c r="OS124" s="4"/>
      <c r="OT124" s="4"/>
      <c r="OU124" s="4"/>
      <c r="OV124" s="4"/>
      <c r="OW124" s="4"/>
      <c r="OX124" s="4"/>
      <c r="OY124" s="4"/>
      <c r="OZ124" s="4"/>
      <c r="PA124" s="4"/>
      <c r="PB124" s="4"/>
      <c r="PC124" s="4"/>
      <c r="PD124" s="4"/>
      <c r="PE124" s="4"/>
      <c r="PF124" s="4"/>
      <c r="PG124" s="4"/>
      <c r="PH124" s="4"/>
      <c r="PI124" s="4"/>
      <c r="PJ124" s="4"/>
      <c r="PK124" s="4"/>
      <c r="PL124" s="4"/>
      <c r="PM124" s="4"/>
      <c r="PN124" s="4"/>
      <c r="PO124" s="4"/>
      <c r="PP124" s="4"/>
      <c r="PQ124" s="4"/>
      <c r="PR124" s="4"/>
      <c r="PS124" s="4"/>
      <c r="PT124" s="4"/>
      <c r="PU124" s="4"/>
      <c r="PV124" s="4"/>
      <c r="PW124" s="4"/>
      <c r="PX124" s="4"/>
      <c r="PY124" s="4"/>
      <c r="PZ124" s="4"/>
      <c r="QA124" s="4"/>
      <c r="QB124" s="4"/>
      <c r="QC124" s="4"/>
      <c r="QD124" s="4"/>
      <c r="QE124" s="4"/>
      <c r="QF124" s="4"/>
      <c r="QG124" s="4"/>
      <c r="QH124" s="4"/>
      <c r="QI124" s="4"/>
      <c r="QJ124" s="4"/>
      <c r="QK124" s="4"/>
      <c r="QL124" s="4"/>
      <c r="QM124" s="4"/>
      <c r="QN124" s="4"/>
      <c r="QO124" s="4"/>
      <c r="QP124" s="4"/>
      <c r="QQ124" s="4"/>
      <c r="QR124" s="4"/>
      <c r="QS124" s="4"/>
      <c r="QT124" s="4"/>
      <c r="QU124" s="4"/>
      <c r="QV124" s="4"/>
      <c r="QW124" s="4"/>
      <c r="QX124" s="4"/>
      <c r="QY124" s="4"/>
      <c r="QZ124" s="4"/>
      <c r="RA124" s="4"/>
      <c r="RB124" s="4"/>
      <c r="RC124" s="4"/>
      <c r="RD124" s="4"/>
      <c r="RE124" s="4"/>
      <c r="RF124" s="4"/>
      <c r="RG124" s="4"/>
      <c r="RH124" s="4"/>
      <c r="RI124" s="4"/>
      <c r="RJ124" s="4"/>
      <c r="RK124" s="4"/>
      <c r="RL124" s="4"/>
      <c r="RM124" s="4"/>
      <c r="RN124" s="4"/>
      <c r="RO124" s="4"/>
      <c r="RP124" s="4"/>
      <c r="RQ124" s="4"/>
      <c r="RR124" s="4"/>
      <c r="RS124" s="4"/>
      <c r="RT124" s="4"/>
      <c r="RU124" s="4"/>
      <c r="RV124" s="4"/>
      <c r="RW124" s="4"/>
      <c r="RX124" s="4"/>
      <c r="RY124" s="4"/>
      <c r="RZ124" s="4"/>
      <c r="SA124" s="4"/>
      <c r="SB124" s="4"/>
      <c r="SC124" s="4"/>
      <c r="SD124" s="4"/>
      <c r="SE124" s="4"/>
      <c r="SF124" s="4"/>
      <c r="SG124" s="4"/>
      <c r="SH124" s="4"/>
      <c r="SI124" s="4"/>
      <c r="SJ124" s="4"/>
      <c r="SK124" s="4"/>
      <c r="SL124" s="4"/>
      <c r="SM124" s="4"/>
      <c r="SN124" s="4"/>
      <c r="SO124" s="4"/>
      <c r="SP124" s="4"/>
      <c r="SQ124" s="4"/>
      <c r="SR124" s="4"/>
      <c r="SS124" s="4"/>
      <c r="ST124" s="4"/>
      <c r="SU124" s="4"/>
      <c r="SV124" s="4"/>
      <c r="SW124" s="4"/>
      <c r="SX124" s="4"/>
      <c r="SY124" s="4"/>
      <c r="SZ124" s="4"/>
      <c r="TA124" s="4"/>
      <c r="TB124" s="4"/>
      <c r="TC124" s="4"/>
      <c r="TD124" s="4"/>
      <c r="TE124" s="4"/>
      <c r="TF124" s="4"/>
      <c r="TG124" s="4"/>
      <c r="TH124" s="4"/>
      <c r="TI124" s="4"/>
      <c r="TJ124" s="4"/>
      <c r="TK124" s="4"/>
      <c r="TL124" s="4"/>
      <c r="TM124" s="4"/>
      <c r="TN124" s="4"/>
      <c r="TO124" s="4"/>
      <c r="TP124" s="4"/>
      <c r="TQ124" s="4"/>
      <c r="TR124" s="4"/>
      <c r="TS124" s="4"/>
      <c r="TT124" s="4"/>
      <c r="TU124" s="4"/>
      <c r="TV124" s="4"/>
      <c r="TW124" s="4"/>
      <c r="TX124" s="4"/>
      <c r="TY124" s="4"/>
      <c r="TZ124" s="4"/>
      <c r="UA124" s="4"/>
      <c r="UB124" s="4"/>
      <c r="UC124" s="4"/>
      <c r="UD124" s="4"/>
      <c r="UE124" s="4"/>
      <c r="UF124" s="4"/>
      <c r="UG124" s="4"/>
      <c r="UH124" s="4"/>
      <c r="UI124" s="4"/>
      <c r="UJ124" s="4"/>
      <c r="UK124" s="4"/>
      <c r="UL124" s="4"/>
      <c r="UM124" s="4"/>
      <c r="UN124" s="4"/>
      <c r="UO124" s="4"/>
      <c r="UP124" s="4"/>
      <c r="UQ124" s="4"/>
      <c r="UR124" s="4"/>
      <c r="US124" s="4"/>
      <c r="UT124" s="4"/>
      <c r="UU124" s="4"/>
      <c r="UV124" s="4"/>
      <c r="UW124" s="4"/>
      <c r="UX124" s="4"/>
      <c r="UY124" s="4"/>
      <c r="UZ124" s="4"/>
      <c r="VA124" s="4"/>
      <c r="VB124" s="4"/>
      <c r="VC124" s="4"/>
      <c r="VD124" s="4"/>
      <c r="VE124" s="4"/>
      <c r="VF124" s="4"/>
      <c r="VG124" s="4"/>
      <c r="VH124" s="4"/>
      <c r="VI124" s="4"/>
      <c r="VJ124" s="4"/>
      <c r="VK124" s="4"/>
      <c r="VL124" s="4"/>
      <c r="VM124" s="4"/>
      <c r="VN124" s="4"/>
      <c r="VO124" s="4"/>
      <c r="VP124" s="4"/>
      <c r="VQ124" s="4"/>
      <c r="VR124" s="4"/>
      <c r="VS124" s="4"/>
      <c r="VT124" s="4"/>
      <c r="VU124" s="4"/>
      <c r="VV124" s="4"/>
      <c r="VW124" s="4"/>
      <c r="VX124" s="4"/>
      <c r="VY124" s="4"/>
      <c r="VZ124" s="4"/>
      <c r="WA124" s="4"/>
      <c r="WB124" s="4"/>
      <c r="WC124" s="4"/>
      <c r="WD124" s="4"/>
      <c r="WE124" s="4"/>
      <c r="WF124" s="4"/>
      <c r="WG124" s="4"/>
      <c r="WH124" s="4"/>
      <c r="WI124" s="4"/>
      <c r="WJ124" s="4"/>
      <c r="WK124" s="4"/>
      <c r="WL124" s="4"/>
      <c r="WM124" s="4"/>
      <c r="WN124" s="4"/>
      <c r="WO124" s="4"/>
      <c r="WP124" s="4"/>
      <c r="WQ124" s="4"/>
      <c r="WR124" s="4"/>
      <c r="WS124" s="4"/>
      <c r="WT124" s="4"/>
      <c r="WU124" s="4"/>
      <c r="WV124" s="4"/>
      <c r="WW124" s="4"/>
      <c r="WX124" s="4"/>
      <c r="WY124" s="4"/>
      <c r="WZ124" s="4"/>
      <c r="XA124" s="4"/>
      <c r="XB124" s="4"/>
      <c r="XC124" s="4"/>
      <c r="XD124" s="4"/>
      <c r="XE124" s="4"/>
      <c r="XF124" s="4"/>
      <c r="XG124" s="4"/>
      <c r="XH124" s="4"/>
      <c r="XI124" s="4"/>
      <c r="XJ124" s="4"/>
      <c r="XK124" s="4"/>
      <c r="XL124" s="4"/>
      <c r="XM124" s="4"/>
      <c r="XN124" s="4"/>
      <c r="XO124" s="4"/>
      <c r="XP124" s="4"/>
      <c r="XQ124" s="4"/>
      <c r="XR124" s="4"/>
      <c r="XS124" s="4"/>
      <c r="XT124" s="4"/>
      <c r="XU124" s="4"/>
      <c r="XV124" s="4"/>
      <c r="XW124" s="4"/>
      <c r="XX124" s="4"/>
      <c r="XY124" s="4"/>
      <c r="XZ124" s="4"/>
      <c r="YA124" s="4"/>
      <c r="YB124" s="4"/>
      <c r="YC124" s="4"/>
      <c r="YD124" s="4"/>
      <c r="YE124" s="4"/>
      <c r="YF124" s="4"/>
      <c r="YG124" s="4"/>
      <c r="YH124" s="4"/>
      <c r="YI124" s="4"/>
      <c r="YJ124" s="4"/>
      <c r="YK124" s="4"/>
      <c r="YL124" s="4"/>
      <c r="YM124" s="4"/>
      <c r="YN124" s="4"/>
      <c r="YO124" s="4"/>
      <c r="YP124" s="4"/>
      <c r="YQ124" s="4"/>
      <c r="YR124" s="4"/>
      <c r="YS124" s="4"/>
      <c r="YT124" s="4"/>
      <c r="YU124" s="4"/>
      <c r="YV124" s="4"/>
      <c r="YW124" s="4"/>
      <c r="YX124" s="4"/>
      <c r="YY124" s="4"/>
      <c r="YZ124" s="4"/>
      <c r="ZA124" s="4"/>
      <c r="ZB124" s="4"/>
      <c r="ZC124" s="4"/>
      <c r="ZD124" s="4"/>
      <c r="ZE124" s="4"/>
      <c r="ZF124" s="4"/>
      <c r="ZG124" s="4"/>
      <c r="ZH124" s="4"/>
      <c r="ZI124" s="4"/>
      <c r="ZJ124" s="4"/>
      <c r="ZK124" s="4"/>
      <c r="ZL124" s="4"/>
      <c r="ZM124" s="4"/>
      <c r="ZN124" s="4"/>
      <c r="ZO124" s="4"/>
      <c r="ZP124" s="4"/>
      <c r="ZQ124" s="4"/>
      <c r="ZR124" s="4"/>
      <c r="ZS124" s="4"/>
      <c r="ZT124" s="4"/>
      <c r="ZU124" s="4"/>
      <c r="ZV124" s="4"/>
      <c r="ZW124" s="4"/>
      <c r="ZX124" s="4"/>
      <c r="ZY124" s="4"/>
      <c r="ZZ124" s="4"/>
      <c r="AAA124" s="4"/>
      <c r="AAB124" s="4"/>
      <c r="AAC124" s="4"/>
      <c r="AAD124" s="4"/>
    </row>
    <row r="125" spans="1:706" ht="37.5" customHeight="1" x14ac:dyDescent="0.15">
      <c r="A125" s="4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  <c r="IW125" s="4"/>
      <c r="IX125" s="4"/>
      <c r="IY125" s="4"/>
      <c r="IZ125" s="4"/>
      <c r="JA125" s="4"/>
      <c r="JB125" s="4"/>
      <c r="JC125" s="4"/>
      <c r="JD125" s="4"/>
      <c r="JE125" s="4"/>
      <c r="JF125" s="4"/>
      <c r="JG125" s="4"/>
      <c r="JH125" s="4"/>
      <c r="JI125" s="4"/>
      <c r="JJ125" s="4"/>
      <c r="JK125" s="4"/>
      <c r="JL125" s="4"/>
      <c r="JM125" s="4"/>
      <c r="JN125" s="4"/>
      <c r="JO125" s="4"/>
      <c r="JP125" s="4"/>
      <c r="JQ125" s="4"/>
      <c r="JR125" s="4"/>
      <c r="JS125" s="4"/>
      <c r="JT125" s="4"/>
      <c r="JU125" s="4"/>
      <c r="JV125" s="4"/>
      <c r="JW125" s="4"/>
      <c r="JX125" s="4"/>
      <c r="JY125" s="4"/>
      <c r="JZ125" s="4"/>
      <c r="KA125" s="4"/>
      <c r="KB125" s="4"/>
      <c r="KC125" s="4"/>
      <c r="KD125" s="4"/>
      <c r="KE125" s="4"/>
      <c r="KF125" s="4"/>
      <c r="KG125" s="4"/>
      <c r="KH125" s="4"/>
      <c r="KI125" s="4"/>
      <c r="KJ125" s="4"/>
      <c r="KK125" s="4"/>
      <c r="KL125" s="4"/>
      <c r="KM125" s="4"/>
      <c r="KN125" s="4"/>
      <c r="KO125" s="4"/>
      <c r="KP125" s="4"/>
      <c r="KQ125" s="4"/>
      <c r="KR125" s="4"/>
      <c r="KS125" s="4"/>
      <c r="KT125" s="4"/>
      <c r="KU125" s="4"/>
      <c r="KV125" s="4"/>
      <c r="KW125" s="4"/>
      <c r="KX125" s="4"/>
      <c r="KY125" s="4"/>
      <c r="KZ125" s="4"/>
      <c r="LA125" s="4"/>
      <c r="LB125" s="4"/>
      <c r="LC125" s="4"/>
      <c r="LD125" s="4"/>
      <c r="LE125" s="4"/>
      <c r="LF125" s="4"/>
      <c r="LG125" s="4"/>
      <c r="LH125" s="4"/>
      <c r="LI125" s="4"/>
      <c r="LJ125" s="4"/>
      <c r="LK125" s="4"/>
      <c r="LL125" s="4"/>
      <c r="LM125" s="4"/>
      <c r="LN125" s="4"/>
      <c r="LO125" s="4"/>
      <c r="LP125" s="4"/>
      <c r="LQ125" s="4"/>
      <c r="LR125" s="4"/>
      <c r="LS125" s="4"/>
      <c r="LT125" s="4"/>
      <c r="LU125" s="4"/>
      <c r="LV125" s="4"/>
      <c r="LW125" s="4"/>
      <c r="LX125" s="4"/>
      <c r="LY125" s="4"/>
      <c r="LZ125" s="4"/>
      <c r="MA125" s="4"/>
      <c r="MB125" s="4"/>
      <c r="MC125" s="4"/>
      <c r="MD125" s="4"/>
      <c r="ME125" s="4"/>
      <c r="MF125" s="4"/>
      <c r="MG125" s="4"/>
      <c r="MH125" s="4"/>
      <c r="MI125" s="4"/>
      <c r="MJ125" s="4"/>
      <c r="MK125" s="4"/>
      <c r="ML125" s="4"/>
      <c r="MM125" s="4"/>
      <c r="MN125" s="4"/>
      <c r="MO125" s="4"/>
      <c r="MP125" s="4"/>
      <c r="MQ125" s="4"/>
      <c r="MR125" s="4"/>
      <c r="MS125" s="4"/>
      <c r="MT125" s="4"/>
      <c r="MU125" s="4"/>
      <c r="MV125" s="4"/>
      <c r="MW125" s="4"/>
      <c r="MX125" s="4"/>
      <c r="MY125" s="4"/>
      <c r="MZ125" s="4"/>
      <c r="NA125" s="4"/>
      <c r="NB125" s="4"/>
      <c r="NC125" s="4"/>
      <c r="ND125" s="4"/>
      <c r="NE125" s="4"/>
      <c r="NF125" s="4"/>
      <c r="NG125" s="4"/>
      <c r="NH125" s="4"/>
      <c r="NI125" s="4"/>
      <c r="NJ125" s="4"/>
      <c r="NK125" s="4"/>
      <c r="NL125" s="4"/>
      <c r="NM125" s="4"/>
      <c r="NN125" s="4"/>
      <c r="NO125" s="4"/>
      <c r="NP125" s="4"/>
      <c r="NQ125" s="4"/>
      <c r="NR125" s="4"/>
      <c r="NS125" s="4"/>
      <c r="NT125" s="4"/>
      <c r="NU125" s="4"/>
      <c r="NV125" s="4"/>
      <c r="NW125" s="4"/>
      <c r="NX125" s="4"/>
      <c r="NY125" s="4"/>
      <c r="NZ125" s="4"/>
      <c r="OA125" s="4"/>
      <c r="OB125" s="4"/>
      <c r="OC125" s="4"/>
      <c r="OD125" s="4"/>
      <c r="OE125" s="4"/>
      <c r="OF125" s="4"/>
      <c r="OG125" s="4"/>
      <c r="OH125" s="4"/>
      <c r="OI125" s="4"/>
      <c r="OJ125" s="4"/>
      <c r="OK125" s="4"/>
      <c r="OL125" s="4"/>
      <c r="OM125" s="4"/>
      <c r="ON125" s="4"/>
      <c r="OO125" s="4"/>
      <c r="OP125" s="4"/>
      <c r="OQ125" s="4"/>
      <c r="OR125" s="4"/>
      <c r="OS125" s="4"/>
      <c r="OT125" s="4"/>
      <c r="OU125" s="4"/>
      <c r="OV125" s="4"/>
      <c r="OW125" s="4"/>
      <c r="OX125" s="4"/>
      <c r="OY125" s="4"/>
      <c r="OZ125" s="4"/>
      <c r="PA125" s="4"/>
      <c r="PB125" s="4"/>
      <c r="PC125" s="4"/>
      <c r="PD125" s="4"/>
      <c r="PE125" s="4"/>
      <c r="PF125" s="4"/>
      <c r="PG125" s="4"/>
      <c r="PH125" s="4"/>
      <c r="PI125" s="4"/>
      <c r="PJ125" s="4"/>
      <c r="PK125" s="4"/>
      <c r="PL125" s="4"/>
      <c r="PM125" s="4"/>
      <c r="PN125" s="4"/>
      <c r="PO125" s="4"/>
      <c r="PP125" s="4"/>
      <c r="PQ125" s="4"/>
      <c r="PR125" s="4"/>
      <c r="PS125" s="4"/>
      <c r="PT125" s="4"/>
      <c r="PU125" s="4"/>
      <c r="PV125" s="4"/>
      <c r="PW125" s="4"/>
      <c r="PX125" s="4"/>
      <c r="PY125" s="4"/>
      <c r="PZ125" s="4"/>
      <c r="QA125" s="4"/>
      <c r="QB125" s="4"/>
      <c r="QC125" s="4"/>
      <c r="QD125" s="4"/>
      <c r="QE125" s="4"/>
      <c r="QF125" s="4"/>
      <c r="QG125" s="4"/>
      <c r="QH125" s="4"/>
      <c r="QI125" s="4"/>
      <c r="QJ125" s="4"/>
      <c r="QK125" s="4"/>
      <c r="QL125" s="4"/>
      <c r="QM125" s="4"/>
      <c r="QN125" s="4"/>
      <c r="QO125" s="4"/>
      <c r="QP125" s="4"/>
      <c r="QQ125" s="4"/>
      <c r="QR125" s="4"/>
      <c r="QS125" s="4"/>
      <c r="QT125" s="4"/>
      <c r="QU125" s="4"/>
      <c r="QV125" s="4"/>
      <c r="QW125" s="4"/>
      <c r="QX125" s="4"/>
      <c r="QY125" s="4"/>
      <c r="QZ125" s="4"/>
      <c r="RA125" s="4"/>
      <c r="RB125" s="4"/>
      <c r="RC125" s="4"/>
      <c r="RD125" s="4"/>
      <c r="RE125" s="4"/>
      <c r="RF125" s="4"/>
      <c r="RG125" s="4"/>
      <c r="RH125" s="4"/>
      <c r="RI125" s="4"/>
      <c r="RJ125" s="4"/>
      <c r="RK125" s="4"/>
      <c r="RL125" s="4"/>
      <c r="RM125" s="4"/>
      <c r="RN125" s="4"/>
      <c r="RO125" s="4"/>
      <c r="RP125" s="4"/>
      <c r="RQ125" s="4"/>
      <c r="RR125" s="4"/>
      <c r="RS125" s="4"/>
      <c r="RT125" s="4"/>
      <c r="RU125" s="4"/>
      <c r="RV125" s="4"/>
      <c r="RW125" s="4"/>
      <c r="RX125" s="4"/>
      <c r="RY125" s="4"/>
      <c r="RZ125" s="4"/>
      <c r="SA125" s="4"/>
      <c r="SB125" s="4"/>
      <c r="SC125" s="4"/>
      <c r="SD125" s="4"/>
      <c r="SE125" s="4"/>
      <c r="SF125" s="4"/>
      <c r="SG125" s="4"/>
      <c r="SH125" s="4"/>
      <c r="SI125" s="4"/>
      <c r="SJ125" s="4"/>
      <c r="SK125" s="4"/>
      <c r="SL125" s="4"/>
      <c r="SM125" s="4"/>
      <c r="SN125" s="4"/>
      <c r="SO125" s="4"/>
      <c r="SP125" s="4"/>
      <c r="SQ125" s="4"/>
      <c r="SR125" s="4"/>
      <c r="SS125" s="4"/>
      <c r="ST125" s="4"/>
      <c r="SU125" s="4"/>
      <c r="SV125" s="4"/>
      <c r="SW125" s="4"/>
      <c r="SX125" s="4"/>
      <c r="SY125" s="4"/>
      <c r="SZ125" s="4"/>
      <c r="TA125" s="4"/>
      <c r="TB125" s="4"/>
      <c r="TC125" s="4"/>
      <c r="TD125" s="4"/>
      <c r="TE125" s="4"/>
      <c r="TF125" s="4"/>
      <c r="TG125" s="4"/>
      <c r="TH125" s="4"/>
      <c r="TI125" s="4"/>
      <c r="TJ125" s="4"/>
      <c r="TK125" s="4"/>
      <c r="TL125" s="4"/>
      <c r="TM125" s="4"/>
      <c r="TN125" s="4"/>
      <c r="TO125" s="4"/>
      <c r="TP125" s="4"/>
      <c r="TQ125" s="4"/>
      <c r="TR125" s="4"/>
      <c r="TS125" s="4"/>
      <c r="TT125" s="4"/>
      <c r="TU125" s="4"/>
      <c r="TV125" s="4"/>
      <c r="TW125" s="4"/>
      <c r="TX125" s="4"/>
      <c r="TY125" s="4"/>
      <c r="TZ125" s="4"/>
      <c r="UA125" s="4"/>
      <c r="UB125" s="4"/>
      <c r="UC125" s="4"/>
      <c r="UD125" s="4"/>
      <c r="UE125" s="4"/>
      <c r="UF125" s="4"/>
      <c r="UG125" s="4"/>
      <c r="UH125" s="4"/>
      <c r="UI125" s="4"/>
      <c r="UJ125" s="4"/>
      <c r="UK125" s="4"/>
      <c r="UL125" s="4"/>
      <c r="UM125" s="4"/>
      <c r="UN125" s="4"/>
      <c r="UO125" s="4"/>
      <c r="UP125" s="4"/>
      <c r="UQ125" s="4"/>
      <c r="UR125" s="4"/>
      <c r="US125" s="4"/>
      <c r="UT125" s="4"/>
      <c r="UU125" s="4"/>
      <c r="UV125" s="4"/>
      <c r="UW125" s="4"/>
      <c r="UX125" s="4"/>
      <c r="UY125" s="4"/>
      <c r="UZ125" s="4"/>
      <c r="VA125" s="4"/>
      <c r="VB125" s="4"/>
      <c r="VC125" s="4"/>
      <c r="VD125" s="4"/>
      <c r="VE125" s="4"/>
      <c r="VF125" s="4"/>
      <c r="VG125" s="4"/>
      <c r="VH125" s="4"/>
      <c r="VI125" s="4"/>
      <c r="VJ125" s="4"/>
      <c r="VK125" s="4"/>
      <c r="VL125" s="4"/>
      <c r="VM125" s="4"/>
      <c r="VN125" s="4"/>
      <c r="VO125" s="4"/>
      <c r="VP125" s="4"/>
      <c r="VQ125" s="4"/>
      <c r="VR125" s="4"/>
      <c r="VS125" s="4"/>
      <c r="VT125" s="4"/>
      <c r="VU125" s="4"/>
      <c r="VV125" s="4"/>
      <c r="VW125" s="4"/>
      <c r="VX125" s="4"/>
      <c r="VY125" s="4"/>
      <c r="VZ125" s="4"/>
      <c r="WA125" s="4"/>
      <c r="WB125" s="4"/>
      <c r="WC125" s="4"/>
      <c r="WD125" s="4"/>
      <c r="WE125" s="4"/>
      <c r="WF125" s="4"/>
      <c r="WG125" s="4"/>
      <c r="WH125" s="4"/>
      <c r="WI125" s="4"/>
      <c r="WJ125" s="4"/>
      <c r="WK125" s="4"/>
      <c r="WL125" s="4"/>
      <c r="WM125" s="4"/>
      <c r="WN125" s="4"/>
      <c r="WO125" s="4"/>
      <c r="WP125" s="4"/>
      <c r="WQ125" s="4"/>
      <c r="WR125" s="4"/>
      <c r="WS125" s="4"/>
      <c r="WT125" s="4"/>
      <c r="WU125" s="4"/>
      <c r="WV125" s="4"/>
      <c r="WW125" s="4"/>
      <c r="WX125" s="4"/>
      <c r="WY125" s="4"/>
      <c r="WZ125" s="4"/>
      <c r="XA125" s="4"/>
      <c r="XB125" s="4"/>
      <c r="XC125" s="4"/>
      <c r="XD125" s="4"/>
      <c r="XE125" s="4"/>
      <c r="XF125" s="4"/>
      <c r="XG125" s="4"/>
      <c r="XH125" s="4"/>
      <c r="XI125" s="4"/>
      <c r="XJ125" s="4"/>
      <c r="XK125" s="4"/>
      <c r="XL125" s="4"/>
      <c r="XM125" s="4"/>
      <c r="XN125" s="4"/>
      <c r="XO125" s="4"/>
      <c r="XP125" s="4"/>
      <c r="XQ125" s="4"/>
      <c r="XR125" s="4"/>
      <c r="XS125" s="4"/>
      <c r="XT125" s="4"/>
      <c r="XU125" s="4"/>
      <c r="XV125" s="4"/>
      <c r="XW125" s="4"/>
      <c r="XX125" s="4"/>
      <c r="XY125" s="4"/>
      <c r="XZ125" s="4"/>
      <c r="YA125" s="4"/>
      <c r="YB125" s="4"/>
      <c r="YC125" s="4"/>
      <c r="YD125" s="4"/>
      <c r="YE125" s="4"/>
      <c r="YF125" s="4"/>
      <c r="YG125" s="4"/>
      <c r="YH125" s="4"/>
      <c r="YI125" s="4"/>
      <c r="YJ125" s="4"/>
      <c r="YK125" s="4"/>
      <c r="YL125" s="4"/>
      <c r="YM125" s="4"/>
      <c r="YN125" s="4"/>
      <c r="YO125" s="4"/>
      <c r="YP125" s="4"/>
      <c r="YQ125" s="4"/>
      <c r="YR125" s="4"/>
      <c r="YS125" s="4"/>
      <c r="YT125" s="4"/>
      <c r="YU125" s="4"/>
      <c r="YV125" s="4"/>
      <c r="YW125" s="4"/>
      <c r="YX125" s="4"/>
      <c r="YY125" s="4"/>
      <c r="YZ125" s="4"/>
      <c r="ZA125" s="4"/>
      <c r="ZB125" s="4"/>
      <c r="ZC125" s="4"/>
      <c r="ZD125" s="4"/>
      <c r="ZE125" s="4"/>
      <c r="ZF125" s="4"/>
      <c r="ZG125" s="4"/>
      <c r="ZH125" s="4"/>
      <c r="ZI125" s="4"/>
      <c r="ZJ125" s="4"/>
      <c r="ZK125" s="4"/>
      <c r="ZL125" s="4"/>
      <c r="ZM125" s="4"/>
      <c r="ZN125" s="4"/>
      <c r="ZO125" s="4"/>
      <c r="ZP125" s="4"/>
      <c r="ZQ125" s="4"/>
      <c r="ZR125" s="4"/>
      <c r="ZS125" s="4"/>
      <c r="ZT125" s="4"/>
      <c r="ZU125" s="4"/>
      <c r="ZV125" s="4"/>
      <c r="ZW125" s="4"/>
      <c r="ZX125" s="4"/>
      <c r="ZY125" s="4"/>
      <c r="ZZ125" s="4"/>
      <c r="AAA125" s="4"/>
      <c r="AAB125" s="4"/>
      <c r="AAC125" s="4"/>
      <c r="AAD125" s="4"/>
    </row>
    <row r="126" spans="1:706" ht="4.5" customHeight="1" x14ac:dyDescent="0.15">
      <c r="A126" s="13"/>
      <c r="B126" s="21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13"/>
      <c r="DO126" s="24"/>
    </row>
    <row r="127" spans="1:706" ht="25.5" customHeight="1" x14ac:dyDescent="0.15">
      <c r="A127" s="13"/>
      <c r="B127" s="21"/>
      <c r="C127" s="22"/>
      <c r="D127" s="22"/>
      <c r="E127" s="22"/>
      <c r="F127" s="219" t="s">
        <v>39</v>
      </c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  <c r="AH127" s="106"/>
      <c r="AI127" s="106"/>
      <c r="AJ127" s="106"/>
      <c r="AK127" s="106"/>
      <c r="AL127" s="106"/>
      <c r="AM127" s="106"/>
      <c r="AN127" s="106"/>
      <c r="AO127" s="106"/>
      <c r="AP127" s="106"/>
      <c r="AQ127" s="106"/>
      <c r="AR127" s="106"/>
      <c r="AS127" s="106"/>
      <c r="AT127" s="106"/>
      <c r="AU127" s="106"/>
      <c r="AV127" s="106"/>
      <c r="AW127" s="106"/>
      <c r="AX127" s="106"/>
      <c r="AY127" s="106"/>
      <c r="AZ127" s="106"/>
      <c r="BA127" s="106"/>
      <c r="BB127" s="106"/>
      <c r="BC127" s="106"/>
      <c r="BD127" s="106"/>
      <c r="BE127" s="106"/>
      <c r="BF127" s="106"/>
      <c r="BG127" s="106"/>
      <c r="BH127" s="106"/>
      <c r="BI127" s="106"/>
      <c r="BJ127" s="106"/>
      <c r="BK127" s="106"/>
      <c r="BL127" s="106"/>
      <c r="BM127" s="106"/>
      <c r="BN127" s="106"/>
      <c r="BO127" s="106"/>
      <c r="BP127" s="106"/>
      <c r="BQ127" s="106"/>
      <c r="BR127" s="106"/>
      <c r="BS127" s="106"/>
      <c r="BT127" s="106"/>
      <c r="BU127" s="106"/>
      <c r="BV127" s="106"/>
      <c r="BW127" s="106"/>
      <c r="BX127" s="106"/>
      <c r="BY127" s="106"/>
      <c r="BZ127" s="106"/>
      <c r="CA127" s="106"/>
      <c r="CB127" s="106"/>
      <c r="CC127" s="106"/>
      <c r="CD127" s="106"/>
      <c r="CE127" s="106"/>
      <c r="CF127" s="106"/>
      <c r="CG127" s="106"/>
      <c r="CH127" s="106"/>
      <c r="CI127" s="106"/>
      <c r="CJ127" s="106"/>
      <c r="CK127" s="106"/>
      <c r="CL127" s="106"/>
      <c r="CM127" s="106"/>
      <c r="CN127" s="106"/>
      <c r="CO127" s="106"/>
      <c r="CP127" s="106"/>
      <c r="CQ127" s="106"/>
      <c r="CR127" s="106"/>
      <c r="CS127" s="106"/>
      <c r="CT127" s="106"/>
      <c r="CU127" s="106"/>
      <c r="CV127" s="106"/>
      <c r="CW127" s="106"/>
      <c r="CX127" s="106"/>
      <c r="CY127" s="106"/>
      <c r="CZ127" s="106"/>
      <c r="DA127" s="106"/>
      <c r="DB127" s="106"/>
      <c r="DC127" s="106"/>
      <c r="DD127" s="106"/>
      <c r="DE127" s="106"/>
      <c r="DF127" s="106"/>
      <c r="DG127" s="106"/>
      <c r="DH127" s="106"/>
      <c r="DI127" s="106"/>
      <c r="DJ127" s="107"/>
      <c r="DK127" s="22"/>
      <c r="DL127" s="22"/>
      <c r="DM127" s="22"/>
      <c r="DN127" s="13"/>
      <c r="DO127" s="24"/>
    </row>
    <row r="128" spans="1:706" ht="4.5" customHeight="1" x14ac:dyDescent="0.15">
      <c r="A128" s="13"/>
      <c r="B128" s="21"/>
      <c r="C128" s="22"/>
      <c r="D128" s="22"/>
      <c r="E128" s="22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66"/>
      <c r="AU128" s="66"/>
      <c r="AV128" s="66"/>
      <c r="AW128" s="66"/>
      <c r="AX128" s="66"/>
      <c r="AY128" s="66"/>
      <c r="AZ128" s="66"/>
      <c r="BA128" s="66"/>
      <c r="BB128" s="66"/>
      <c r="BC128" s="66"/>
      <c r="BD128" s="66"/>
      <c r="BE128" s="66"/>
      <c r="BF128" s="66"/>
      <c r="BG128" s="66"/>
      <c r="BH128" s="66"/>
      <c r="BI128" s="66"/>
      <c r="BJ128" s="66"/>
      <c r="BK128" s="66"/>
      <c r="BL128" s="66"/>
      <c r="BM128" s="66"/>
      <c r="BN128" s="66"/>
      <c r="BO128" s="66"/>
      <c r="BP128" s="66"/>
      <c r="BQ128" s="66"/>
      <c r="BR128" s="66"/>
      <c r="BS128" s="66"/>
      <c r="BT128" s="66"/>
      <c r="BU128" s="66"/>
      <c r="BV128" s="66"/>
      <c r="BW128" s="66"/>
      <c r="BX128" s="66"/>
      <c r="BY128" s="66"/>
      <c r="BZ128" s="66"/>
      <c r="CA128" s="66"/>
      <c r="CB128" s="66"/>
      <c r="CC128" s="66"/>
      <c r="CD128" s="66"/>
      <c r="CE128" s="66"/>
      <c r="CF128" s="66"/>
      <c r="CG128" s="66"/>
      <c r="CH128" s="66"/>
      <c r="CI128" s="66"/>
      <c r="CJ128" s="66"/>
      <c r="CK128" s="66"/>
      <c r="CL128" s="66"/>
      <c r="CM128" s="66"/>
      <c r="CN128" s="66"/>
      <c r="CO128" s="66"/>
      <c r="CP128" s="66"/>
      <c r="CQ128" s="66"/>
      <c r="CR128" s="66"/>
      <c r="CS128" s="66"/>
      <c r="CT128" s="66"/>
      <c r="CU128" s="66"/>
      <c r="CV128" s="66"/>
      <c r="CW128" s="66"/>
      <c r="CX128" s="66"/>
      <c r="CY128" s="66"/>
      <c r="CZ128" s="66"/>
      <c r="DA128" s="66"/>
      <c r="DB128" s="66"/>
      <c r="DC128" s="66"/>
      <c r="DD128" s="66"/>
      <c r="DE128" s="66"/>
      <c r="DF128" s="66"/>
      <c r="DG128" s="66"/>
      <c r="DH128" s="66"/>
      <c r="DI128" s="66"/>
      <c r="DJ128" s="66"/>
      <c r="DK128" s="22"/>
      <c r="DL128" s="22"/>
      <c r="DM128" s="22"/>
      <c r="DN128" s="13"/>
      <c r="DO128" s="24"/>
    </row>
    <row r="129" spans="1:706" ht="4.5" customHeight="1" x14ac:dyDescent="0.15">
      <c r="A129" s="13"/>
      <c r="B129" s="21"/>
      <c r="C129" s="22"/>
      <c r="D129" s="22"/>
      <c r="E129" s="22"/>
      <c r="F129" s="58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  <c r="BC129" s="59"/>
      <c r="BD129" s="59"/>
      <c r="BE129" s="59"/>
      <c r="BF129" s="59"/>
      <c r="BG129" s="59"/>
      <c r="BH129" s="59"/>
      <c r="BI129" s="59"/>
      <c r="BJ129" s="59"/>
      <c r="BK129" s="59"/>
      <c r="BL129" s="59"/>
      <c r="BM129" s="59"/>
      <c r="BN129" s="59"/>
      <c r="BO129" s="59"/>
      <c r="BP129" s="59"/>
      <c r="BQ129" s="59"/>
      <c r="BR129" s="59"/>
      <c r="BS129" s="59"/>
      <c r="BT129" s="59"/>
      <c r="BU129" s="59"/>
      <c r="BV129" s="59"/>
      <c r="BW129" s="59"/>
      <c r="BX129" s="59"/>
      <c r="BY129" s="59"/>
      <c r="BZ129" s="59"/>
      <c r="CA129" s="59"/>
      <c r="CB129" s="59"/>
      <c r="CC129" s="59"/>
      <c r="CD129" s="59"/>
      <c r="CE129" s="59"/>
      <c r="CF129" s="59"/>
      <c r="CG129" s="59"/>
      <c r="CH129" s="59"/>
      <c r="CI129" s="59"/>
      <c r="CJ129" s="59"/>
      <c r="CK129" s="59"/>
      <c r="CL129" s="59"/>
      <c r="CM129" s="59"/>
      <c r="CN129" s="59"/>
      <c r="CO129" s="59"/>
      <c r="CP129" s="59"/>
      <c r="CQ129" s="59"/>
      <c r="CR129" s="59"/>
      <c r="CS129" s="59"/>
      <c r="CT129" s="59"/>
      <c r="CU129" s="59"/>
      <c r="CV129" s="59"/>
      <c r="CW129" s="59"/>
      <c r="CX129" s="59"/>
      <c r="CY129" s="59"/>
      <c r="CZ129" s="59"/>
      <c r="DA129" s="59"/>
      <c r="DB129" s="59"/>
      <c r="DC129" s="59"/>
      <c r="DD129" s="59"/>
      <c r="DE129" s="59"/>
      <c r="DF129" s="59"/>
      <c r="DG129" s="59"/>
      <c r="DH129" s="59"/>
      <c r="DI129" s="59"/>
      <c r="DJ129" s="60"/>
      <c r="DK129" s="22"/>
      <c r="DL129" s="22"/>
      <c r="DM129" s="22"/>
      <c r="DN129" s="13"/>
      <c r="DO129" s="24"/>
    </row>
    <row r="130" spans="1:706" ht="4.5" customHeight="1" x14ac:dyDescent="0.15">
      <c r="A130" s="13"/>
      <c r="B130" s="21"/>
      <c r="C130" s="22"/>
      <c r="D130" s="22"/>
      <c r="E130" s="22"/>
      <c r="F130" s="61"/>
      <c r="G130" s="140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  <c r="AH130" s="118"/>
      <c r="AI130" s="118"/>
      <c r="AJ130" s="118"/>
      <c r="AK130" s="118"/>
      <c r="AL130" s="118"/>
      <c r="AM130" s="118"/>
      <c r="AN130" s="118"/>
      <c r="AO130" s="118"/>
      <c r="AP130" s="118"/>
      <c r="AQ130" s="118"/>
      <c r="AR130" s="118"/>
      <c r="AS130" s="118"/>
      <c r="AT130" s="118"/>
      <c r="AU130" s="118"/>
      <c r="AV130" s="118"/>
      <c r="AW130" s="118"/>
      <c r="AX130" s="118"/>
      <c r="AY130" s="118"/>
      <c r="AZ130" s="118"/>
      <c r="BA130" s="118"/>
      <c r="BB130" s="118"/>
      <c r="BC130" s="118"/>
      <c r="BD130" s="118"/>
      <c r="BE130" s="118"/>
      <c r="BF130" s="118"/>
      <c r="BG130" s="118"/>
      <c r="BH130" s="118"/>
      <c r="BI130" s="118"/>
      <c r="BJ130" s="118"/>
      <c r="BK130" s="118"/>
      <c r="BL130" s="118"/>
      <c r="BM130" s="118"/>
      <c r="BN130" s="118"/>
      <c r="BO130" s="118"/>
      <c r="BP130" s="118"/>
      <c r="BQ130" s="118"/>
      <c r="BR130" s="118"/>
      <c r="BS130" s="118"/>
      <c r="BT130" s="118"/>
      <c r="BU130" s="118"/>
      <c r="BV130" s="118"/>
      <c r="BW130" s="118"/>
      <c r="BX130" s="118"/>
      <c r="BY130" s="118"/>
      <c r="BZ130" s="118"/>
      <c r="CA130" s="118"/>
      <c r="CB130" s="118"/>
      <c r="CC130" s="118"/>
      <c r="CD130" s="118"/>
      <c r="CE130" s="118"/>
      <c r="CF130" s="118"/>
      <c r="CG130" s="118"/>
      <c r="CH130" s="118"/>
      <c r="CI130" s="118"/>
      <c r="CJ130" s="118"/>
      <c r="CK130" s="118"/>
      <c r="CL130" s="118"/>
      <c r="CM130" s="118"/>
      <c r="CN130" s="118"/>
      <c r="CO130" s="118"/>
      <c r="CP130" s="118"/>
      <c r="CQ130" s="118"/>
      <c r="CR130" s="118"/>
      <c r="CS130" s="118"/>
      <c r="CT130" s="118"/>
      <c r="CU130" s="118"/>
      <c r="CV130" s="118"/>
      <c r="CW130" s="118"/>
      <c r="CX130" s="118"/>
      <c r="CY130" s="118"/>
      <c r="CZ130" s="118"/>
      <c r="DA130" s="118"/>
      <c r="DB130" s="118"/>
      <c r="DC130" s="118"/>
      <c r="DD130" s="118"/>
      <c r="DE130" s="118"/>
      <c r="DF130" s="118"/>
      <c r="DG130" s="118"/>
      <c r="DH130" s="118"/>
      <c r="DI130" s="118"/>
      <c r="DJ130" s="62"/>
      <c r="DK130" s="22"/>
      <c r="DL130" s="22"/>
      <c r="DM130" s="22"/>
      <c r="DN130" s="13"/>
      <c r="DO130" s="24"/>
    </row>
    <row r="131" spans="1:706" ht="326.25" customHeight="1" x14ac:dyDescent="0.15">
      <c r="A131" s="13"/>
      <c r="B131" s="21"/>
      <c r="C131" s="22"/>
      <c r="D131" s="22"/>
      <c r="E131" s="22"/>
      <c r="F131" s="61"/>
      <c r="G131" s="141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  <c r="AH131" s="118"/>
      <c r="AI131" s="118"/>
      <c r="AJ131" s="118"/>
      <c r="AK131" s="118"/>
      <c r="AL131" s="118"/>
      <c r="AM131" s="118"/>
      <c r="AN131" s="118"/>
      <c r="AO131" s="118"/>
      <c r="AP131" s="118"/>
      <c r="AQ131" s="118"/>
      <c r="AR131" s="118"/>
      <c r="AS131" s="118"/>
      <c r="AT131" s="118"/>
      <c r="AU131" s="118"/>
      <c r="AV131" s="118"/>
      <c r="AW131" s="118"/>
      <c r="AX131" s="118"/>
      <c r="AY131" s="118"/>
      <c r="AZ131" s="118"/>
      <c r="BA131" s="118"/>
      <c r="BB131" s="118"/>
      <c r="BC131" s="118"/>
      <c r="BD131" s="118"/>
      <c r="BE131" s="118"/>
      <c r="BF131" s="118"/>
      <c r="BG131" s="118"/>
      <c r="BH131" s="118"/>
      <c r="BI131" s="118"/>
      <c r="BJ131" s="118"/>
      <c r="BK131" s="118"/>
      <c r="BL131" s="118"/>
      <c r="BM131" s="118"/>
      <c r="BN131" s="118"/>
      <c r="BO131" s="118"/>
      <c r="BP131" s="118"/>
      <c r="BQ131" s="118"/>
      <c r="BR131" s="118"/>
      <c r="BS131" s="118"/>
      <c r="BT131" s="118"/>
      <c r="BU131" s="118"/>
      <c r="BV131" s="118"/>
      <c r="BW131" s="118"/>
      <c r="BX131" s="118"/>
      <c r="BY131" s="118"/>
      <c r="BZ131" s="118"/>
      <c r="CA131" s="118"/>
      <c r="CB131" s="118"/>
      <c r="CC131" s="118"/>
      <c r="CD131" s="118"/>
      <c r="CE131" s="118"/>
      <c r="CF131" s="118"/>
      <c r="CG131" s="118"/>
      <c r="CH131" s="118"/>
      <c r="CI131" s="118"/>
      <c r="CJ131" s="118"/>
      <c r="CK131" s="118"/>
      <c r="CL131" s="118"/>
      <c r="CM131" s="118"/>
      <c r="CN131" s="118"/>
      <c r="CO131" s="118"/>
      <c r="CP131" s="118"/>
      <c r="CQ131" s="118"/>
      <c r="CR131" s="118"/>
      <c r="CS131" s="118"/>
      <c r="CT131" s="118"/>
      <c r="CU131" s="118"/>
      <c r="CV131" s="118"/>
      <c r="CW131" s="118"/>
      <c r="CX131" s="118"/>
      <c r="CY131" s="118"/>
      <c r="CZ131" s="118"/>
      <c r="DA131" s="118"/>
      <c r="DB131" s="118"/>
      <c r="DC131" s="118"/>
      <c r="DD131" s="118"/>
      <c r="DE131" s="118"/>
      <c r="DF131" s="118"/>
      <c r="DG131" s="118"/>
      <c r="DH131" s="118"/>
      <c r="DI131" s="118"/>
      <c r="DJ131" s="62"/>
      <c r="DK131" s="22"/>
      <c r="DL131" s="22"/>
      <c r="DM131" s="22"/>
      <c r="DN131" s="13"/>
      <c r="DO131" s="24"/>
    </row>
    <row r="132" spans="1:706" ht="4.5" customHeight="1" x14ac:dyDescent="0.15">
      <c r="A132" s="13"/>
      <c r="B132" s="21"/>
      <c r="C132" s="22"/>
      <c r="D132" s="22"/>
      <c r="E132" s="22"/>
      <c r="F132" s="63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/>
      <c r="BL132" s="64"/>
      <c r="BM132" s="64"/>
      <c r="BN132" s="64"/>
      <c r="BO132" s="64"/>
      <c r="BP132" s="64"/>
      <c r="BQ132" s="64"/>
      <c r="BR132" s="64"/>
      <c r="BS132" s="64"/>
      <c r="BT132" s="64"/>
      <c r="BU132" s="64"/>
      <c r="BV132" s="64"/>
      <c r="BW132" s="64"/>
      <c r="BX132" s="64"/>
      <c r="BY132" s="64"/>
      <c r="BZ132" s="64"/>
      <c r="CA132" s="64"/>
      <c r="CB132" s="64"/>
      <c r="CC132" s="64"/>
      <c r="CD132" s="64"/>
      <c r="CE132" s="64"/>
      <c r="CF132" s="64"/>
      <c r="CG132" s="64"/>
      <c r="CH132" s="64"/>
      <c r="CI132" s="64"/>
      <c r="CJ132" s="64"/>
      <c r="CK132" s="64"/>
      <c r="CL132" s="64"/>
      <c r="CM132" s="64"/>
      <c r="CN132" s="64"/>
      <c r="CO132" s="64"/>
      <c r="CP132" s="64"/>
      <c r="CQ132" s="64"/>
      <c r="CR132" s="64"/>
      <c r="CS132" s="64"/>
      <c r="CT132" s="64"/>
      <c r="CU132" s="64"/>
      <c r="CV132" s="64"/>
      <c r="CW132" s="64"/>
      <c r="CX132" s="64"/>
      <c r="CY132" s="64"/>
      <c r="CZ132" s="64"/>
      <c r="DA132" s="64"/>
      <c r="DB132" s="64"/>
      <c r="DC132" s="64"/>
      <c r="DD132" s="64"/>
      <c r="DE132" s="64"/>
      <c r="DF132" s="64"/>
      <c r="DG132" s="64"/>
      <c r="DH132" s="64"/>
      <c r="DI132" s="64"/>
      <c r="DJ132" s="65"/>
      <c r="DK132" s="22"/>
      <c r="DL132" s="22"/>
      <c r="DM132" s="22"/>
      <c r="DN132" s="13"/>
      <c r="DO132" s="24"/>
    </row>
    <row r="133" spans="1:706" ht="4.5" customHeight="1" x14ac:dyDescent="0.15">
      <c r="A133" s="13"/>
      <c r="B133" s="21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13"/>
      <c r="DO133" s="24"/>
    </row>
    <row r="134" spans="1:706" ht="25.5" customHeight="1" x14ac:dyDescent="0.15">
      <c r="A134" s="13"/>
      <c r="B134" s="21"/>
      <c r="C134" s="22"/>
      <c r="D134" s="22"/>
      <c r="E134" s="22"/>
      <c r="F134" s="219" t="s">
        <v>40</v>
      </c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  <c r="AI134" s="106"/>
      <c r="AJ134" s="106"/>
      <c r="AK134" s="106"/>
      <c r="AL134" s="106"/>
      <c r="AM134" s="106"/>
      <c r="AN134" s="106"/>
      <c r="AO134" s="106"/>
      <c r="AP134" s="106"/>
      <c r="AQ134" s="106"/>
      <c r="AR134" s="106"/>
      <c r="AS134" s="106"/>
      <c r="AT134" s="106"/>
      <c r="AU134" s="106"/>
      <c r="AV134" s="106"/>
      <c r="AW134" s="106"/>
      <c r="AX134" s="106"/>
      <c r="AY134" s="106"/>
      <c r="AZ134" s="106"/>
      <c r="BA134" s="106"/>
      <c r="BB134" s="106"/>
      <c r="BC134" s="106"/>
      <c r="BD134" s="106"/>
      <c r="BE134" s="106"/>
      <c r="BF134" s="106"/>
      <c r="BG134" s="106"/>
      <c r="BH134" s="106"/>
      <c r="BI134" s="106"/>
      <c r="BJ134" s="106"/>
      <c r="BK134" s="106"/>
      <c r="BL134" s="106"/>
      <c r="BM134" s="106"/>
      <c r="BN134" s="106"/>
      <c r="BO134" s="106"/>
      <c r="BP134" s="106"/>
      <c r="BQ134" s="106"/>
      <c r="BR134" s="106"/>
      <c r="BS134" s="106"/>
      <c r="BT134" s="106"/>
      <c r="BU134" s="106"/>
      <c r="BV134" s="106"/>
      <c r="BW134" s="106"/>
      <c r="BX134" s="106"/>
      <c r="BY134" s="106"/>
      <c r="BZ134" s="106"/>
      <c r="CA134" s="106"/>
      <c r="CB134" s="106"/>
      <c r="CC134" s="106"/>
      <c r="CD134" s="106"/>
      <c r="CE134" s="106"/>
      <c r="CF134" s="106"/>
      <c r="CG134" s="106"/>
      <c r="CH134" s="106"/>
      <c r="CI134" s="106"/>
      <c r="CJ134" s="106"/>
      <c r="CK134" s="106"/>
      <c r="CL134" s="106"/>
      <c r="CM134" s="106"/>
      <c r="CN134" s="106"/>
      <c r="CO134" s="106"/>
      <c r="CP134" s="106"/>
      <c r="CQ134" s="106"/>
      <c r="CR134" s="106"/>
      <c r="CS134" s="106"/>
      <c r="CT134" s="106"/>
      <c r="CU134" s="106"/>
      <c r="CV134" s="106"/>
      <c r="CW134" s="106"/>
      <c r="CX134" s="106"/>
      <c r="CY134" s="106"/>
      <c r="CZ134" s="106"/>
      <c r="DA134" s="106"/>
      <c r="DB134" s="106"/>
      <c r="DC134" s="106"/>
      <c r="DD134" s="106"/>
      <c r="DE134" s="106"/>
      <c r="DF134" s="106"/>
      <c r="DG134" s="106"/>
      <c r="DH134" s="106"/>
      <c r="DI134" s="106"/>
      <c r="DJ134" s="107"/>
      <c r="DK134" s="22"/>
      <c r="DL134" s="22"/>
      <c r="DM134" s="22"/>
      <c r="DN134" s="13"/>
      <c r="DO134" s="24"/>
    </row>
    <row r="135" spans="1:706" ht="4.5" customHeight="1" x14ac:dyDescent="0.15">
      <c r="A135" s="13"/>
      <c r="B135" s="21"/>
      <c r="C135" s="22"/>
      <c r="D135" s="22"/>
      <c r="E135" s="22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66"/>
      <c r="AU135" s="66"/>
      <c r="AV135" s="66"/>
      <c r="AW135" s="66"/>
      <c r="AX135" s="66"/>
      <c r="AY135" s="66"/>
      <c r="AZ135" s="66"/>
      <c r="BA135" s="66"/>
      <c r="BB135" s="66"/>
      <c r="BC135" s="66"/>
      <c r="BD135" s="66"/>
      <c r="BE135" s="66"/>
      <c r="BF135" s="66"/>
      <c r="BG135" s="66"/>
      <c r="BH135" s="66"/>
      <c r="BI135" s="66"/>
      <c r="BJ135" s="66"/>
      <c r="BK135" s="66"/>
      <c r="BL135" s="66"/>
      <c r="BM135" s="66"/>
      <c r="BN135" s="66"/>
      <c r="BO135" s="66"/>
      <c r="BP135" s="66"/>
      <c r="BQ135" s="66"/>
      <c r="BR135" s="66"/>
      <c r="BS135" s="66"/>
      <c r="BT135" s="66"/>
      <c r="BU135" s="66"/>
      <c r="BV135" s="66"/>
      <c r="BW135" s="66"/>
      <c r="BX135" s="66"/>
      <c r="BY135" s="66"/>
      <c r="BZ135" s="66"/>
      <c r="CA135" s="66"/>
      <c r="CB135" s="66"/>
      <c r="CC135" s="66"/>
      <c r="CD135" s="66"/>
      <c r="CE135" s="66"/>
      <c r="CF135" s="66"/>
      <c r="CG135" s="66"/>
      <c r="CH135" s="66"/>
      <c r="CI135" s="66"/>
      <c r="CJ135" s="66"/>
      <c r="CK135" s="66"/>
      <c r="CL135" s="66"/>
      <c r="CM135" s="66"/>
      <c r="CN135" s="66"/>
      <c r="CO135" s="66"/>
      <c r="CP135" s="66"/>
      <c r="CQ135" s="66"/>
      <c r="CR135" s="66"/>
      <c r="CS135" s="66"/>
      <c r="CT135" s="66"/>
      <c r="CU135" s="66"/>
      <c r="CV135" s="66"/>
      <c r="CW135" s="66"/>
      <c r="CX135" s="66"/>
      <c r="CY135" s="66"/>
      <c r="CZ135" s="66"/>
      <c r="DA135" s="66"/>
      <c r="DB135" s="66"/>
      <c r="DC135" s="66"/>
      <c r="DD135" s="66"/>
      <c r="DE135" s="66"/>
      <c r="DF135" s="66"/>
      <c r="DG135" s="66"/>
      <c r="DH135" s="66"/>
      <c r="DI135" s="66"/>
      <c r="DJ135" s="66"/>
      <c r="DK135" s="22"/>
      <c r="DL135" s="22"/>
      <c r="DM135" s="22"/>
      <c r="DN135" s="13"/>
      <c r="DO135" s="24"/>
    </row>
    <row r="136" spans="1:706" ht="4.5" customHeight="1" x14ac:dyDescent="0.15">
      <c r="A136" s="13"/>
      <c r="B136" s="21"/>
      <c r="C136" s="22"/>
      <c r="D136" s="22"/>
      <c r="E136" s="22"/>
      <c r="F136" s="58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  <c r="BC136" s="59"/>
      <c r="BD136" s="59"/>
      <c r="BE136" s="59"/>
      <c r="BF136" s="59"/>
      <c r="BG136" s="59"/>
      <c r="BH136" s="59"/>
      <c r="BI136" s="59"/>
      <c r="BJ136" s="59"/>
      <c r="BK136" s="59"/>
      <c r="BL136" s="59"/>
      <c r="BM136" s="59"/>
      <c r="BN136" s="59"/>
      <c r="BO136" s="59"/>
      <c r="BP136" s="59"/>
      <c r="BQ136" s="59"/>
      <c r="BR136" s="59"/>
      <c r="BS136" s="59"/>
      <c r="BT136" s="59"/>
      <c r="BU136" s="59"/>
      <c r="BV136" s="59"/>
      <c r="BW136" s="59"/>
      <c r="BX136" s="59"/>
      <c r="BY136" s="59"/>
      <c r="BZ136" s="59"/>
      <c r="CA136" s="59"/>
      <c r="CB136" s="59"/>
      <c r="CC136" s="59"/>
      <c r="CD136" s="59"/>
      <c r="CE136" s="59"/>
      <c r="CF136" s="59"/>
      <c r="CG136" s="59"/>
      <c r="CH136" s="59"/>
      <c r="CI136" s="59"/>
      <c r="CJ136" s="59"/>
      <c r="CK136" s="59"/>
      <c r="CL136" s="59"/>
      <c r="CM136" s="59"/>
      <c r="CN136" s="59"/>
      <c r="CO136" s="59"/>
      <c r="CP136" s="59"/>
      <c r="CQ136" s="59"/>
      <c r="CR136" s="59"/>
      <c r="CS136" s="59"/>
      <c r="CT136" s="59"/>
      <c r="CU136" s="59"/>
      <c r="CV136" s="59"/>
      <c r="CW136" s="59"/>
      <c r="CX136" s="59"/>
      <c r="CY136" s="59"/>
      <c r="CZ136" s="59"/>
      <c r="DA136" s="59"/>
      <c r="DB136" s="59"/>
      <c r="DC136" s="59"/>
      <c r="DD136" s="59"/>
      <c r="DE136" s="59"/>
      <c r="DF136" s="59"/>
      <c r="DG136" s="59"/>
      <c r="DH136" s="59"/>
      <c r="DI136" s="59"/>
      <c r="DJ136" s="60"/>
      <c r="DK136" s="22"/>
      <c r="DL136" s="22"/>
      <c r="DM136" s="22"/>
      <c r="DN136" s="13"/>
      <c r="DO136" s="24"/>
    </row>
    <row r="137" spans="1:706" ht="4.5" customHeight="1" x14ac:dyDescent="0.15">
      <c r="A137" s="13"/>
      <c r="B137" s="21"/>
      <c r="C137" s="22"/>
      <c r="D137" s="22"/>
      <c r="E137" s="22"/>
      <c r="F137" s="61"/>
      <c r="G137" s="140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  <c r="AH137" s="118"/>
      <c r="AI137" s="118"/>
      <c r="AJ137" s="118"/>
      <c r="AK137" s="118"/>
      <c r="AL137" s="118"/>
      <c r="AM137" s="118"/>
      <c r="AN137" s="118"/>
      <c r="AO137" s="118"/>
      <c r="AP137" s="118"/>
      <c r="AQ137" s="118"/>
      <c r="AR137" s="118"/>
      <c r="AS137" s="118"/>
      <c r="AT137" s="118"/>
      <c r="AU137" s="118"/>
      <c r="AV137" s="118"/>
      <c r="AW137" s="118"/>
      <c r="AX137" s="118"/>
      <c r="AY137" s="118"/>
      <c r="AZ137" s="118"/>
      <c r="BA137" s="118"/>
      <c r="BB137" s="118"/>
      <c r="BC137" s="118"/>
      <c r="BD137" s="118"/>
      <c r="BE137" s="118"/>
      <c r="BF137" s="118"/>
      <c r="BG137" s="118"/>
      <c r="BH137" s="118"/>
      <c r="BI137" s="118"/>
      <c r="BJ137" s="118"/>
      <c r="BK137" s="118"/>
      <c r="BL137" s="118"/>
      <c r="BM137" s="118"/>
      <c r="BN137" s="118"/>
      <c r="BO137" s="118"/>
      <c r="BP137" s="118"/>
      <c r="BQ137" s="118"/>
      <c r="BR137" s="118"/>
      <c r="BS137" s="118"/>
      <c r="BT137" s="118"/>
      <c r="BU137" s="118"/>
      <c r="BV137" s="118"/>
      <c r="BW137" s="118"/>
      <c r="BX137" s="118"/>
      <c r="BY137" s="118"/>
      <c r="BZ137" s="118"/>
      <c r="CA137" s="118"/>
      <c r="CB137" s="118"/>
      <c r="CC137" s="118"/>
      <c r="CD137" s="118"/>
      <c r="CE137" s="118"/>
      <c r="CF137" s="118"/>
      <c r="CG137" s="118"/>
      <c r="CH137" s="118"/>
      <c r="CI137" s="118"/>
      <c r="CJ137" s="118"/>
      <c r="CK137" s="118"/>
      <c r="CL137" s="118"/>
      <c r="CM137" s="118"/>
      <c r="CN137" s="118"/>
      <c r="CO137" s="118"/>
      <c r="CP137" s="118"/>
      <c r="CQ137" s="118"/>
      <c r="CR137" s="118"/>
      <c r="CS137" s="118"/>
      <c r="CT137" s="118"/>
      <c r="CU137" s="118"/>
      <c r="CV137" s="118"/>
      <c r="CW137" s="118"/>
      <c r="CX137" s="118"/>
      <c r="CY137" s="118"/>
      <c r="CZ137" s="118"/>
      <c r="DA137" s="118"/>
      <c r="DB137" s="118"/>
      <c r="DC137" s="118"/>
      <c r="DD137" s="118"/>
      <c r="DE137" s="118"/>
      <c r="DF137" s="118"/>
      <c r="DG137" s="118"/>
      <c r="DH137" s="118"/>
      <c r="DI137" s="118"/>
      <c r="DJ137" s="62"/>
      <c r="DK137" s="22"/>
      <c r="DL137" s="22"/>
      <c r="DM137" s="22"/>
      <c r="DN137" s="13"/>
      <c r="DO137" s="24"/>
    </row>
    <row r="138" spans="1:706" ht="334.5" customHeight="1" x14ac:dyDescent="0.15">
      <c r="A138" s="13"/>
      <c r="B138" s="21"/>
      <c r="C138" s="22"/>
      <c r="D138" s="22"/>
      <c r="E138" s="22"/>
      <c r="F138" s="61"/>
      <c r="G138" s="141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8"/>
      <c r="AN138" s="118"/>
      <c r="AO138" s="118"/>
      <c r="AP138" s="118"/>
      <c r="AQ138" s="118"/>
      <c r="AR138" s="118"/>
      <c r="AS138" s="118"/>
      <c r="AT138" s="118"/>
      <c r="AU138" s="118"/>
      <c r="AV138" s="118"/>
      <c r="AW138" s="118"/>
      <c r="AX138" s="118"/>
      <c r="AY138" s="118"/>
      <c r="AZ138" s="118"/>
      <c r="BA138" s="118"/>
      <c r="BB138" s="118"/>
      <c r="BC138" s="118"/>
      <c r="BD138" s="118"/>
      <c r="BE138" s="118"/>
      <c r="BF138" s="118"/>
      <c r="BG138" s="118"/>
      <c r="BH138" s="118"/>
      <c r="BI138" s="118"/>
      <c r="BJ138" s="118"/>
      <c r="BK138" s="118"/>
      <c r="BL138" s="118"/>
      <c r="BM138" s="118"/>
      <c r="BN138" s="118"/>
      <c r="BO138" s="118"/>
      <c r="BP138" s="118"/>
      <c r="BQ138" s="118"/>
      <c r="BR138" s="118"/>
      <c r="BS138" s="118"/>
      <c r="BT138" s="118"/>
      <c r="BU138" s="118"/>
      <c r="BV138" s="118"/>
      <c r="BW138" s="118"/>
      <c r="BX138" s="118"/>
      <c r="BY138" s="118"/>
      <c r="BZ138" s="118"/>
      <c r="CA138" s="118"/>
      <c r="CB138" s="118"/>
      <c r="CC138" s="118"/>
      <c r="CD138" s="118"/>
      <c r="CE138" s="118"/>
      <c r="CF138" s="118"/>
      <c r="CG138" s="118"/>
      <c r="CH138" s="118"/>
      <c r="CI138" s="118"/>
      <c r="CJ138" s="118"/>
      <c r="CK138" s="118"/>
      <c r="CL138" s="118"/>
      <c r="CM138" s="118"/>
      <c r="CN138" s="118"/>
      <c r="CO138" s="118"/>
      <c r="CP138" s="118"/>
      <c r="CQ138" s="118"/>
      <c r="CR138" s="118"/>
      <c r="CS138" s="118"/>
      <c r="CT138" s="118"/>
      <c r="CU138" s="118"/>
      <c r="CV138" s="118"/>
      <c r="CW138" s="118"/>
      <c r="CX138" s="118"/>
      <c r="CY138" s="118"/>
      <c r="CZ138" s="118"/>
      <c r="DA138" s="118"/>
      <c r="DB138" s="118"/>
      <c r="DC138" s="118"/>
      <c r="DD138" s="118"/>
      <c r="DE138" s="118"/>
      <c r="DF138" s="118"/>
      <c r="DG138" s="118"/>
      <c r="DH138" s="118"/>
      <c r="DI138" s="118"/>
      <c r="DJ138" s="62"/>
      <c r="DK138" s="22"/>
      <c r="DL138" s="22"/>
      <c r="DM138" s="22"/>
      <c r="DN138" s="13"/>
      <c r="DO138" s="24"/>
    </row>
    <row r="139" spans="1:706" ht="4.5" customHeight="1" x14ac:dyDescent="0.15">
      <c r="A139" s="13"/>
      <c r="B139" s="21"/>
      <c r="C139" s="22"/>
      <c r="D139" s="22"/>
      <c r="E139" s="22"/>
      <c r="F139" s="63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BH139" s="64"/>
      <c r="BI139" s="64"/>
      <c r="BJ139" s="64"/>
      <c r="BK139" s="64"/>
      <c r="BL139" s="64"/>
      <c r="BM139" s="64"/>
      <c r="BN139" s="64"/>
      <c r="BO139" s="64"/>
      <c r="BP139" s="64"/>
      <c r="BQ139" s="64"/>
      <c r="BR139" s="64"/>
      <c r="BS139" s="64"/>
      <c r="BT139" s="64"/>
      <c r="BU139" s="64"/>
      <c r="BV139" s="64"/>
      <c r="BW139" s="64"/>
      <c r="BX139" s="64"/>
      <c r="BY139" s="64"/>
      <c r="BZ139" s="64"/>
      <c r="CA139" s="64"/>
      <c r="CB139" s="64"/>
      <c r="CC139" s="64"/>
      <c r="CD139" s="64"/>
      <c r="CE139" s="64"/>
      <c r="CF139" s="64"/>
      <c r="CG139" s="64"/>
      <c r="CH139" s="64"/>
      <c r="CI139" s="64"/>
      <c r="CJ139" s="64"/>
      <c r="CK139" s="64"/>
      <c r="CL139" s="64"/>
      <c r="CM139" s="64"/>
      <c r="CN139" s="64"/>
      <c r="CO139" s="64"/>
      <c r="CP139" s="64"/>
      <c r="CQ139" s="64"/>
      <c r="CR139" s="64"/>
      <c r="CS139" s="64"/>
      <c r="CT139" s="64"/>
      <c r="CU139" s="64"/>
      <c r="CV139" s="64"/>
      <c r="CW139" s="64"/>
      <c r="CX139" s="64"/>
      <c r="CY139" s="64"/>
      <c r="CZ139" s="64"/>
      <c r="DA139" s="64"/>
      <c r="DB139" s="64"/>
      <c r="DC139" s="64"/>
      <c r="DD139" s="64"/>
      <c r="DE139" s="64"/>
      <c r="DF139" s="64"/>
      <c r="DG139" s="64"/>
      <c r="DH139" s="64"/>
      <c r="DI139" s="64"/>
      <c r="DJ139" s="65"/>
      <c r="DK139" s="22"/>
      <c r="DL139" s="22"/>
      <c r="DM139" s="22"/>
      <c r="DN139" s="13"/>
      <c r="DO139" s="24"/>
    </row>
    <row r="140" spans="1:706" ht="4.5" customHeight="1" x14ac:dyDescent="0.15">
      <c r="A140" s="13"/>
      <c r="B140" s="21"/>
      <c r="C140" s="22"/>
      <c r="D140" s="22"/>
      <c r="E140" s="22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  <c r="CW140" s="31"/>
      <c r="CX140" s="31"/>
      <c r="CY140" s="31"/>
      <c r="CZ140" s="31"/>
      <c r="DA140" s="31"/>
      <c r="DB140" s="31"/>
      <c r="DC140" s="31"/>
      <c r="DD140" s="31"/>
      <c r="DE140" s="31"/>
      <c r="DF140" s="31"/>
      <c r="DG140" s="31"/>
      <c r="DH140" s="31"/>
      <c r="DI140" s="31"/>
      <c r="DJ140" s="31"/>
      <c r="DK140" s="22"/>
      <c r="DL140" s="22"/>
      <c r="DM140" s="22"/>
      <c r="DN140" s="13"/>
      <c r="DO140" s="24"/>
    </row>
    <row r="141" spans="1:706" ht="9.75" customHeight="1" x14ac:dyDescent="0.15">
      <c r="A141" s="13"/>
      <c r="B141" s="21"/>
      <c r="C141" s="22"/>
      <c r="D141" s="22"/>
      <c r="E141" s="22"/>
      <c r="F141" s="220" t="s">
        <v>38</v>
      </c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  <c r="AH141" s="106"/>
      <c r="AI141" s="106"/>
      <c r="AJ141" s="106"/>
      <c r="AK141" s="106"/>
      <c r="AL141" s="106"/>
      <c r="AM141" s="106"/>
      <c r="AN141" s="106"/>
      <c r="AO141" s="106"/>
      <c r="AP141" s="106"/>
      <c r="AQ141" s="106"/>
      <c r="AR141" s="106"/>
      <c r="AS141" s="106"/>
      <c r="AT141" s="106"/>
      <c r="AU141" s="106"/>
      <c r="AV141" s="106"/>
      <c r="AW141" s="106"/>
      <c r="AX141" s="106"/>
      <c r="AY141" s="106"/>
      <c r="AZ141" s="106"/>
      <c r="BA141" s="106"/>
      <c r="BB141" s="106"/>
      <c r="BC141" s="106"/>
      <c r="BD141" s="106"/>
      <c r="BE141" s="106"/>
      <c r="BF141" s="106"/>
      <c r="BG141" s="106"/>
      <c r="BH141" s="106"/>
      <c r="BI141" s="106"/>
      <c r="BJ141" s="106"/>
      <c r="BK141" s="106"/>
      <c r="BL141" s="106"/>
      <c r="BM141" s="106"/>
      <c r="BN141" s="106"/>
      <c r="BO141" s="106"/>
      <c r="BP141" s="106"/>
      <c r="BQ141" s="106"/>
      <c r="BR141" s="106"/>
      <c r="BS141" s="106"/>
      <c r="BT141" s="106"/>
      <c r="BU141" s="106"/>
      <c r="BV141" s="106"/>
      <c r="BW141" s="106"/>
      <c r="BX141" s="106"/>
      <c r="BY141" s="106"/>
      <c r="BZ141" s="106"/>
      <c r="CA141" s="106"/>
      <c r="CB141" s="106"/>
      <c r="CC141" s="106"/>
      <c r="CD141" s="106"/>
      <c r="CE141" s="106"/>
      <c r="CF141" s="106"/>
      <c r="CG141" s="106"/>
      <c r="CH141" s="106"/>
      <c r="CI141" s="106"/>
      <c r="CJ141" s="106"/>
      <c r="CK141" s="106"/>
      <c r="CL141" s="106"/>
      <c r="CM141" s="106"/>
      <c r="CN141" s="106"/>
      <c r="CO141" s="106"/>
      <c r="CP141" s="106"/>
      <c r="CQ141" s="106"/>
      <c r="CR141" s="106"/>
      <c r="CS141" s="106"/>
      <c r="CT141" s="106"/>
      <c r="CU141" s="106"/>
      <c r="CV141" s="106"/>
      <c r="CW141" s="106"/>
      <c r="CX141" s="106"/>
      <c r="CY141" s="106"/>
      <c r="CZ141" s="106"/>
      <c r="DA141" s="106"/>
      <c r="DB141" s="106"/>
      <c r="DC141" s="106"/>
      <c r="DD141" s="106"/>
      <c r="DE141" s="106"/>
      <c r="DF141" s="106"/>
      <c r="DG141" s="106"/>
      <c r="DH141" s="106"/>
      <c r="DI141" s="106"/>
      <c r="DJ141" s="107"/>
      <c r="DK141" s="22"/>
      <c r="DL141" s="22"/>
      <c r="DM141" s="22"/>
      <c r="DN141" s="13"/>
      <c r="DO141" s="24"/>
    </row>
    <row r="142" spans="1:706" ht="4.5" customHeight="1" x14ac:dyDescent="0.15">
      <c r="DN142" s="13"/>
    </row>
    <row r="143" spans="1:706" ht="4.5" customHeight="1" x14ac:dyDescent="0.15">
      <c r="B143" s="13"/>
      <c r="DN143" s="13"/>
    </row>
    <row r="144" spans="1:706" ht="15" customHeight="1" x14ac:dyDescent="0.15">
      <c r="A144" s="4"/>
      <c r="B144" s="4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4"/>
      <c r="IS144" s="4"/>
      <c r="IT144" s="4"/>
      <c r="IU144" s="4"/>
      <c r="IV144" s="4"/>
      <c r="IW144" s="4"/>
      <c r="IX144" s="4"/>
      <c r="IY144" s="4"/>
      <c r="IZ144" s="4"/>
      <c r="JA144" s="4"/>
      <c r="JB144" s="4"/>
      <c r="JC144" s="4"/>
      <c r="JD144" s="4"/>
      <c r="JE144" s="4"/>
      <c r="JF144" s="4"/>
      <c r="JG144" s="4"/>
      <c r="JH144" s="4"/>
      <c r="JI144" s="4"/>
      <c r="JJ144" s="4"/>
      <c r="JK144" s="4"/>
      <c r="JL144" s="4"/>
      <c r="JM144" s="4"/>
      <c r="JN144" s="4"/>
      <c r="JO144" s="4"/>
      <c r="JP144" s="4"/>
      <c r="JQ144" s="4"/>
      <c r="JR144" s="4"/>
      <c r="JS144" s="4"/>
      <c r="JT144" s="4"/>
      <c r="JU144" s="4"/>
      <c r="JV144" s="4"/>
      <c r="JW144" s="4"/>
      <c r="JX144" s="4"/>
      <c r="JY144" s="4"/>
      <c r="JZ144" s="4"/>
      <c r="KA144" s="4"/>
      <c r="KB144" s="4"/>
      <c r="KC144" s="4"/>
      <c r="KD144" s="4"/>
      <c r="KE144" s="4"/>
      <c r="KF144" s="4"/>
      <c r="KG144" s="4"/>
      <c r="KH144" s="4"/>
      <c r="KI144" s="4"/>
      <c r="KJ144" s="4"/>
      <c r="KK144" s="4"/>
      <c r="KL144" s="4"/>
      <c r="KM144" s="4"/>
      <c r="KN144" s="4"/>
      <c r="KO144" s="4"/>
      <c r="KP144" s="4"/>
      <c r="KQ144" s="4"/>
      <c r="KR144" s="4"/>
      <c r="KS144" s="4"/>
      <c r="KT144" s="4"/>
      <c r="KU144" s="4"/>
      <c r="KV144" s="4"/>
      <c r="KW144" s="4"/>
      <c r="KX144" s="4"/>
      <c r="KY144" s="4"/>
      <c r="KZ144" s="4"/>
      <c r="LA144" s="4"/>
      <c r="LB144" s="4"/>
      <c r="LC144" s="4"/>
      <c r="LD144" s="4"/>
      <c r="LE144" s="4"/>
      <c r="LF144" s="4"/>
      <c r="LG144" s="4"/>
      <c r="LH144" s="4"/>
      <c r="LI144" s="4"/>
      <c r="LJ144" s="4"/>
      <c r="LK144" s="4"/>
      <c r="LL144" s="4"/>
      <c r="LM144" s="4"/>
      <c r="LN144" s="4"/>
      <c r="LO144" s="4"/>
      <c r="LP144" s="4"/>
      <c r="LQ144" s="4"/>
      <c r="LR144" s="4"/>
      <c r="LS144" s="4"/>
      <c r="LT144" s="4"/>
      <c r="LU144" s="4"/>
      <c r="LV144" s="4"/>
      <c r="LW144" s="4"/>
      <c r="LX144" s="4"/>
      <c r="LY144" s="4"/>
      <c r="LZ144" s="4"/>
      <c r="MA144" s="4"/>
      <c r="MB144" s="4"/>
      <c r="MC144" s="4"/>
      <c r="MD144" s="4"/>
      <c r="ME144" s="4"/>
      <c r="MF144" s="4"/>
      <c r="MG144" s="4"/>
      <c r="MH144" s="4"/>
      <c r="MI144" s="4"/>
      <c r="MJ144" s="4"/>
      <c r="MK144" s="4"/>
      <c r="ML144" s="4"/>
      <c r="MM144" s="4"/>
      <c r="MN144" s="4"/>
      <c r="MO144" s="4"/>
      <c r="MP144" s="4"/>
      <c r="MQ144" s="4"/>
      <c r="MR144" s="4"/>
      <c r="MS144" s="4"/>
      <c r="MT144" s="4"/>
      <c r="MU144" s="4"/>
      <c r="MV144" s="4"/>
      <c r="MW144" s="4"/>
      <c r="MX144" s="4"/>
      <c r="MY144" s="4"/>
      <c r="MZ144" s="4"/>
      <c r="NA144" s="4"/>
      <c r="NB144" s="4"/>
      <c r="NC144" s="4"/>
      <c r="ND144" s="4"/>
      <c r="NE144" s="4"/>
      <c r="NF144" s="4"/>
      <c r="NG144" s="4"/>
      <c r="NH144" s="4"/>
      <c r="NI144" s="4"/>
      <c r="NJ144" s="4"/>
      <c r="NK144" s="4"/>
      <c r="NL144" s="4"/>
      <c r="NM144" s="4"/>
      <c r="NN144" s="4"/>
      <c r="NO144" s="4"/>
      <c r="NP144" s="4"/>
      <c r="NQ144" s="4"/>
      <c r="NR144" s="4"/>
      <c r="NS144" s="4"/>
      <c r="NT144" s="4"/>
      <c r="NU144" s="4"/>
      <c r="NV144" s="4"/>
      <c r="NW144" s="4"/>
      <c r="NX144" s="4"/>
      <c r="NY144" s="4"/>
      <c r="NZ144" s="4"/>
      <c r="OA144" s="4"/>
      <c r="OB144" s="4"/>
      <c r="OC144" s="4"/>
      <c r="OD144" s="4"/>
      <c r="OE144" s="4"/>
      <c r="OF144" s="4"/>
      <c r="OG144" s="4"/>
      <c r="OH144" s="4"/>
      <c r="OI144" s="4"/>
      <c r="OJ144" s="4"/>
      <c r="OK144" s="4"/>
      <c r="OL144" s="4"/>
      <c r="OM144" s="4"/>
      <c r="ON144" s="4"/>
      <c r="OO144" s="4"/>
      <c r="OP144" s="4"/>
      <c r="OQ144" s="4"/>
      <c r="OR144" s="4"/>
      <c r="OS144" s="4"/>
      <c r="OT144" s="4"/>
      <c r="OU144" s="4"/>
      <c r="OV144" s="4"/>
      <c r="OW144" s="4"/>
      <c r="OX144" s="4"/>
      <c r="OY144" s="4"/>
      <c r="OZ144" s="4"/>
      <c r="PA144" s="4"/>
      <c r="PB144" s="4"/>
      <c r="PC144" s="4"/>
      <c r="PD144" s="4"/>
      <c r="PE144" s="4"/>
      <c r="PF144" s="4"/>
      <c r="PG144" s="4"/>
      <c r="PH144" s="4"/>
      <c r="PI144" s="4"/>
      <c r="PJ144" s="4"/>
      <c r="PK144" s="4"/>
      <c r="PL144" s="4"/>
      <c r="PM144" s="4"/>
      <c r="PN144" s="4"/>
      <c r="PO144" s="4"/>
      <c r="PP144" s="4"/>
      <c r="PQ144" s="4"/>
      <c r="PR144" s="4"/>
      <c r="PS144" s="4"/>
      <c r="PT144" s="4"/>
      <c r="PU144" s="4"/>
      <c r="PV144" s="4"/>
      <c r="PW144" s="4"/>
      <c r="PX144" s="4"/>
      <c r="PY144" s="4"/>
      <c r="PZ144" s="4"/>
      <c r="QA144" s="4"/>
      <c r="QB144" s="4"/>
      <c r="QC144" s="4"/>
      <c r="QD144" s="4"/>
      <c r="QE144" s="4"/>
      <c r="QF144" s="4"/>
      <c r="QG144" s="4"/>
      <c r="QH144" s="4"/>
      <c r="QI144" s="4"/>
      <c r="QJ144" s="4"/>
      <c r="QK144" s="4"/>
      <c r="QL144" s="4"/>
      <c r="QM144" s="4"/>
      <c r="QN144" s="4"/>
      <c r="QO144" s="4"/>
      <c r="QP144" s="4"/>
      <c r="QQ144" s="4"/>
      <c r="QR144" s="4"/>
      <c r="QS144" s="4"/>
      <c r="QT144" s="4"/>
      <c r="QU144" s="4"/>
      <c r="QV144" s="4"/>
      <c r="QW144" s="4"/>
      <c r="QX144" s="4"/>
      <c r="QY144" s="4"/>
      <c r="QZ144" s="4"/>
      <c r="RA144" s="4"/>
      <c r="RB144" s="4"/>
      <c r="RC144" s="4"/>
      <c r="RD144" s="4"/>
      <c r="RE144" s="4"/>
      <c r="RF144" s="4"/>
      <c r="RG144" s="4"/>
      <c r="RH144" s="4"/>
      <c r="RI144" s="4"/>
      <c r="RJ144" s="4"/>
      <c r="RK144" s="4"/>
      <c r="RL144" s="4"/>
      <c r="RM144" s="4"/>
      <c r="RN144" s="4"/>
      <c r="RO144" s="4"/>
      <c r="RP144" s="4"/>
      <c r="RQ144" s="4"/>
      <c r="RR144" s="4"/>
      <c r="RS144" s="4"/>
      <c r="RT144" s="4"/>
      <c r="RU144" s="4"/>
      <c r="RV144" s="4"/>
      <c r="RW144" s="4"/>
      <c r="RX144" s="4"/>
      <c r="RY144" s="4"/>
      <c r="RZ144" s="4"/>
      <c r="SA144" s="4"/>
      <c r="SB144" s="4"/>
      <c r="SC144" s="4"/>
      <c r="SD144" s="4"/>
      <c r="SE144" s="4"/>
      <c r="SF144" s="4"/>
      <c r="SG144" s="4"/>
      <c r="SH144" s="4"/>
      <c r="SI144" s="4"/>
      <c r="SJ144" s="4"/>
      <c r="SK144" s="4"/>
      <c r="SL144" s="4"/>
      <c r="SM144" s="4"/>
      <c r="SN144" s="4"/>
      <c r="SO144" s="4"/>
      <c r="SP144" s="4"/>
      <c r="SQ144" s="4"/>
      <c r="SR144" s="4"/>
      <c r="SS144" s="4"/>
      <c r="ST144" s="4"/>
      <c r="SU144" s="4"/>
      <c r="SV144" s="4"/>
      <c r="SW144" s="4"/>
      <c r="SX144" s="4"/>
      <c r="SY144" s="4"/>
      <c r="SZ144" s="4"/>
      <c r="TA144" s="4"/>
      <c r="TB144" s="4"/>
      <c r="TC144" s="4"/>
      <c r="TD144" s="4"/>
      <c r="TE144" s="4"/>
      <c r="TF144" s="4"/>
      <c r="TG144" s="4"/>
      <c r="TH144" s="4"/>
      <c r="TI144" s="4"/>
      <c r="TJ144" s="4"/>
      <c r="TK144" s="4"/>
      <c r="TL144" s="4"/>
      <c r="TM144" s="4"/>
      <c r="TN144" s="4"/>
      <c r="TO144" s="4"/>
      <c r="TP144" s="4"/>
      <c r="TQ144" s="4"/>
      <c r="TR144" s="4"/>
      <c r="TS144" s="4"/>
      <c r="TT144" s="4"/>
      <c r="TU144" s="4"/>
      <c r="TV144" s="4"/>
      <c r="TW144" s="4"/>
      <c r="TX144" s="4"/>
      <c r="TY144" s="4"/>
      <c r="TZ144" s="4"/>
      <c r="UA144" s="4"/>
      <c r="UB144" s="4"/>
      <c r="UC144" s="4"/>
      <c r="UD144" s="4"/>
      <c r="UE144" s="4"/>
      <c r="UF144" s="4"/>
      <c r="UG144" s="4"/>
      <c r="UH144" s="4"/>
      <c r="UI144" s="4"/>
      <c r="UJ144" s="4"/>
      <c r="UK144" s="4"/>
      <c r="UL144" s="4"/>
      <c r="UM144" s="4"/>
      <c r="UN144" s="4"/>
      <c r="UO144" s="4"/>
      <c r="UP144" s="4"/>
      <c r="UQ144" s="4"/>
      <c r="UR144" s="4"/>
      <c r="US144" s="4"/>
      <c r="UT144" s="4"/>
      <c r="UU144" s="4"/>
      <c r="UV144" s="4"/>
      <c r="UW144" s="4"/>
      <c r="UX144" s="4"/>
      <c r="UY144" s="4"/>
      <c r="UZ144" s="4"/>
      <c r="VA144" s="4"/>
      <c r="VB144" s="4"/>
      <c r="VC144" s="4"/>
      <c r="VD144" s="4"/>
      <c r="VE144" s="4"/>
      <c r="VF144" s="4"/>
      <c r="VG144" s="4"/>
      <c r="VH144" s="4"/>
      <c r="VI144" s="4"/>
      <c r="VJ144" s="4"/>
      <c r="VK144" s="4"/>
      <c r="VL144" s="4"/>
      <c r="VM144" s="4"/>
      <c r="VN144" s="4"/>
      <c r="VO144" s="4"/>
      <c r="VP144" s="4"/>
      <c r="VQ144" s="4"/>
      <c r="VR144" s="4"/>
      <c r="VS144" s="4"/>
      <c r="VT144" s="4"/>
      <c r="VU144" s="4"/>
      <c r="VV144" s="4"/>
      <c r="VW144" s="4"/>
      <c r="VX144" s="4"/>
      <c r="VY144" s="4"/>
      <c r="VZ144" s="4"/>
      <c r="WA144" s="4"/>
      <c r="WB144" s="4"/>
      <c r="WC144" s="4"/>
      <c r="WD144" s="4"/>
      <c r="WE144" s="4"/>
      <c r="WF144" s="4"/>
      <c r="WG144" s="4"/>
      <c r="WH144" s="4"/>
      <c r="WI144" s="4"/>
      <c r="WJ144" s="4"/>
      <c r="WK144" s="4"/>
      <c r="WL144" s="4"/>
      <c r="WM144" s="4"/>
      <c r="WN144" s="4"/>
      <c r="WO144" s="4"/>
      <c r="WP144" s="4"/>
      <c r="WQ144" s="4"/>
      <c r="WR144" s="4"/>
      <c r="WS144" s="4"/>
      <c r="WT144" s="4"/>
      <c r="WU144" s="4"/>
      <c r="WV144" s="4"/>
      <c r="WW144" s="4"/>
      <c r="WX144" s="4"/>
      <c r="WY144" s="4"/>
      <c r="WZ144" s="4"/>
      <c r="XA144" s="4"/>
      <c r="XB144" s="4"/>
      <c r="XC144" s="4"/>
      <c r="XD144" s="4"/>
      <c r="XE144" s="4"/>
      <c r="XF144" s="4"/>
      <c r="XG144" s="4"/>
      <c r="XH144" s="4"/>
      <c r="XI144" s="4"/>
      <c r="XJ144" s="4"/>
      <c r="XK144" s="4"/>
      <c r="XL144" s="4"/>
      <c r="XM144" s="4"/>
      <c r="XN144" s="4"/>
      <c r="XO144" s="4"/>
      <c r="XP144" s="4"/>
      <c r="XQ144" s="4"/>
      <c r="XR144" s="4"/>
      <c r="XS144" s="4"/>
      <c r="XT144" s="4"/>
      <c r="XU144" s="4"/>
      <c r="XV144" s="4"/>
      <c r="XW144" s="4"/>
      <c r="XX144" s="4"/>
      <c r="XY144" s="4"/>
      <c r="XZ144" s="4"/>
      <c r="YA144" s="4"/>
      <c r="YB144" s="4"/>
      <c r="YC144" s="4"/>
      <c r="YD144" s="4"/>
      <c r="YE144" s="4"/>
      <c r="YF144" s="4"/>
      <c r="YG144" s="4"/>
      <c r="YH144" s="4"/>
      <c r="YI144" s="4"/>
      <c r="YJ144" s="4"/>
      <c r="YK144" s="4"/>
      <c r="YL144" s="4"/>
      <c r="YM144" s="4"/>
      <c r="YN144" s="4"/>
      <c r="YO144" s="4"/>
      <c r="YP144" s="4"/>
      <c r="YQ144" s="4"/>
      <c r="YR144" s="4"/>
      <c r="YS144" s="4"/>
      <c r="YT144" s="4"/>
      <c r="YU144" s="4"/>
      <c r="YV144" s="4"/>
      <c r="YW144" s="4"/>
      <c r="YX144" s="4"/>
      <c r="YY144" s="4"/>
      <c r="YZ144" s="4"/>
      <c r="ZA144" s="4"/>
      <c r="ZB144" s="4"/>
      <c r="ZC144" s="4"/>
      <c r="ZD144" s="4"/>
      <c r="ZE144" s="4"/>
      <c r="ZF144" s="4"/>
      <c r="ZG144" s="4"/>
      <c r="ZH144" s="4"/>
      <c r="ZI144" s="4"/>
      <c r="ZJ144" s="4"/>
      <c r="ZK144" s="4"/>
      <c r="ZL144" s="4"/>
      <c r="ZM144" s="4"/>
      <c r="ZN144" s="4"/>
      <c r="ZO144" s="4"/>
      <c r="ZP144" s="4"/>
      <c r="ZQ144" s="4"/>
      <c r="ZR144" s="4"/>
      <c r="ZS144" s="4"/>
      <c r="ZT144" s="4"/>
      <c r="ZU144" s="4"/>
      <c r="ZV144" s="4"/>
      <c r="ZW144" s="4"/>
      <c r="ZX144" s="4"/>
      <c r="ZY144" s="4"/>
      <c r="ZZ144" s="4"/>
      <c r="AAA144" s="4"/>
      <c r="AAB144" s="4"/>
      <c r="AAC144" s="4"/>
      <c r="AAD144" s="4"/>
    </row>
    <row r="145" spans="1:706" ht="37.5" customHeight="1" x14ac:dyDescent="0.15">
      <c r="A145" s="4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/>
      <c r="IF145" s="4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4"/>
      <c r="IS145" s="4"/>
      <c r="IT145" s="4"/>
      <c r="IU145" s="4"/>
      <c r="IV145" s="4"/>
      <c r="IW145" s="4"/>
      <c r="IX145" s="4"/>
      <c r="IY145" s="4"/>
      <c r="IZ145" s="4"/>
      <c r="JA145" s="4"/>
      <c r="JB145" s="4"/>
      <c r="JC145" s="4"/>
      <c r="JD145" s="4"/>
      <c r="JE145" s="4"/>
      <c r="JF145" s="4"/>
      <c r="JG145" s="4"/>
      <c r="JH145" s="4"/>
      <c r="JI145" s="4"/>
      <c r="JJ145" s="4"/>
      <c r="JK145" s="4"/>
      <c r="JL145" s="4"/>
      <c r="JM145" s="4"/>
      <c r="JN145" s="4"/>
      <c r="JO145" s="4"/>
      <c r="JP145" s="4"/>
      <c r="JQ145" s="4"/>
      <c r="JR145" s="4"/>
      <c r="JS145" s="4"/>
      <c r="JT145" s="4"/>
      <c r="JU145" s="4"/>
      <c r="JV145" s="4"/>
      <c r="JW145" s="4"/>
      <c r="JX145" s="4"/>
      <c r="JY145" s="4"/>
      <c r="JZ145" s="4"/>
      <c r="KA145" s="4"/>
      <c r="KB145" s="4"/>
      <c r="KC145" s="4"/>
      <c r="KD145" s="4"/>
      <c r="KE145" s="4"/>
      <c r="KF145" s="4"/>
      <c r="KG145" s="4"/>
      <c r="KH145" s="4"/>
      <c r="KI145" s="4"/>
      <c r="KJ145" s="4"/>
      <c r="KK145" s="4"/>
      <c r="KL145" s="4"/>
      <c r="KM145" s="4"/>
      <c r="KN145" s="4"/>
      <c r="KO145" s="4"/>
      <c r="KP145" s="4"/>
      <c r="KQ145" s="4"/>
      <c r="KR145" s="4"/>
      <c r="KS145" s="4"/>
      <c r="KT145" s="4"/>
      <c r="KU145" s="4"/>
      <c r="KV145" s="4"/>
      <c r="KW145" s="4"/>
      <c r="KX145" s="4"/>
      <c r="KY145" s="4"/>
      <c r="KZ145" s="4"/>
      <c r="LA145" s="4"/>
      <c r="LB145" s="4"/>
      <c r="LC145" s="4"/>
      <c r="LD145" s="4"/>
      <c r="LE145" s="4"/>
      <c r="LF145" s="4"/>
      <c r="LG145" s="4"/>
      <c r="LH145" s="4"/>
      <c r="LI145" s="4"/>
      <c r="LJ145" s="4"/>
      <c r="LK145" s="4"/>
      <c r="LL145" s="4"/>
      <c r="LM145" s="4"/>
      <c r="LN145" s="4"/>
      <c r="LO145" s="4"/>
      <c r="LP145" s="4"/>
      <c r="LQ145" s="4"/>
      <c r="LR145" s="4"/>
      <c r="LS145" s="4"/>
      <c r="LT145" s="4"/>
      <c r="LU145" s="4"/>
      <c r="LV145" s="4"/>
      <c r="LW145" s="4"/>
      <c r="LX145" s="4"/>
      <c r="LY145" s="4"/>
      <c r="LZ145" s="4"/>
      <c r="MA145" s="4"/>
      <c r="MB145" s="4"/>
      <c r="MC145" s="4"/>
      <c r="MD145" s="4"/>
      <c r="ME145" s="4"/>
      <c r="MF145" s="4"/>
      <c r="MG145" s="4"/>
      <c r="MH145" s="4"/>
      <c r="MI145" s="4"/>
      <c r="MJ145" s="4"/>
      <c r="MK145" s="4"/>
      <c r="ML145" s="4"/>
      <c r="MM145" s="4"/>
      <c r="MN145" s="4"/>
      <c r="MO145" s="4"/>
      <c r="MP145" s="4"/>
      <c r="MQ145" s="4"/>
      <c r="MR145" s="4"/>
      <c r="MS145" s="4"/>
      <c r="MT145" s="4"/>
      <c r="MU145" s="4"/>
      <c r="MV145" s="4"/>
      <c r="MW145" s="4"/>
      <c r="MX145" s="4"/>
      <c r="MY145" s="4"/>
      <c r="MZ145" s="4"/>
      <c r="NA145" s="4"/>
      <c r="NB145" s="4"/>
      <c r="NC145" s="4"/>
      <c r="ND145" s="4"/>
      <c r="NE145" s="4"/>
      <c r="NF145" s="4"/>
      <c r="NG145" s="4"/>
      <c r="NH145" s="4"/>
      <c r="NI145" s="4"/>
      <c r="NJ145" s="4"/>
      <c r="NK145" s="4"/>
      <c r="NL145" s="4"/>
      <c r="NM145" s="4"/>
      <c r="NN145" s="4"/>
      <c r="NO145" s="4"/>
      <c r="NP145" s="4"/>
      <c r="NQ145" s="4"/>
      <c r="NR145" s="4"/>
      <c r="NS145" s="4"/>
      <c r="NT145" s="4"/>
      <c r="NU145" s="4"/>
      <c r="NV145" s="4"/>
      <c r="NW145" s="4"/>
      <c r="NX145" s="4"/>
      <c r="NY145" s="4"/>
      <c r="NZ145" s="4"/>
      <c r="OA145" s="4"/>
      <c r="OB145" s="4"/>
      <c r="OC145" s="4"/>
      <c r="OD145" s="4"/>
      <c r="OE145" s="4"/>
      <c r="OF145" s="4"/>
      <c r="OG145" s="4"/>
      <c r="OH145" s="4"/>
      <c r="OI145" s="4"/>
      <c r="OJ145" s="4"/>
      <c r="OK145" s="4"/>
      <c r="OL145" s="4"/>
      <c r="OM145" s="4"/>
      <c r="ON145" s="4"/>
      <c r="OO145" s="4"/>
      <c r="OP145" s="4"/>
      <c r="OQ145" s="4"/>
      <c r="OR145" s="4"/>
      <c r="OS145" s="4"/>
      <c r="OT145" s="4"/>
      <c r="OU145" s="4"/>
      <c r="OV145" s="4"/>
      <c r="OW145" s="4"/>
      <c r="OX145" s="4"/>
      <c r="OY145" s="4"/>
      <c r="OZ145" s="4"/>
      <c r="PA145" s="4"/>
      <c r="PB145" s="4"/>
      <c r="PC145" s="4"/>
      <c r="PD145" s="4"/>
      <c r="PE145" s="4"/>
      <c r="PF145" s="4"/>
      <c r="PG145" s="4"/>
      <c r="PH145" s="4"/>
      <c r="PI145" s="4"/>
      <c r="PJ145" s="4"/>
      <c r="PK145" s="4"/>
      <c r="PL145" s="4"/>
      <c r="PM145" s="4"/>
      <c r="PN145" s="4"/>
      <c r="PO145" s="4"/>
      <c r="PP145" s="4"/>
      <c r="PQ145" s="4"/>
      <c r="PR145" s="4"/>
      <c r="PS145" s="4"/>
      <c r="PT145" s="4"/>
      <c r="PU145" s="4"/>
      <c r="PV145" s="4"/>
      <c r="PW145" s="4"/>
      <c r="PX145" s="4"/>
      <c r="PY145" s="4"/>
      <c r="PZ145" s="4"/>
      <c r="QA145" s="4"/>
      <c r="QB145" s="4"/>
      <c r="QC145" s="4"/>
      <c r="QD145" s="4"/>
      <c r="QE145" s="4"/>
      <c r="QF145" s="4"/>
      <c r="QG145" s="4"/>
      <c r="QH145" s="4"/>
      <c r="QI145" s="4"/>
      <c r="QJ145" s="4"/>
      <c r="QK145" s="4"/>
      <c r="QL145" s="4"/>
      <c r="QM145" s="4"/>
      <c r="QN145" s="4"/>
      <c r="QO145" s="4"/>
      <c r="QP145" s="4"/>
      <c r="QQ145" s="4"/>
      <c r="QR145" s="4"/>
      <c r="QS145" s="4"/>
      <c r="QT145" s="4"/>
      <c r="QU145" s="4"/>
      <c r="QV145" s="4"/>
      <c r="QW145" s="4"/>
      <c r="QX145" s="4"/>
      <c r="QY145" s="4"/>
      <c r="QZ145" s="4"/>
      <c r="RA145" s="4"/>
      <c r="RB145" s="4"/>
      <c r="RC145" s="4"/>
      <c r="RD145" s="4"/>
      <c r="RE145" s="4"/>
      <c r="RF145" s="4"/>
      <c r="RG145" s="4"/>
      <c r="RH145" s="4"/>
      <c r="RI145" s="4"/>
      <c r="RJ145" s="4"/>
      <c r="RK145" s="4"/>
      <c r="RL145" s="4"/>
      <c r="RM145" s="4"/>
      <c r="RN145" s="4"/>
      <c r="RO145" s="4"/>
      <c r="RP145" s="4"/>
      <c r="RQ145" s="4"/>
      <c r="RR145" s="4"/>
      <c r="RS145" s="4"/>
      <c r="RT145" s="4"/>
      <c r="RU145" s="4"/>
      <c r="RV145" s="4"/>
      <c r="RW145" s="4"/>
      <c r="RX145" s="4"/>
      <c r="RY145" s="4"/>
      <c r="RZ145" s="4"/>
      <c r="SA145" s="4"/>
      <c r="SB145" s="4"/>
      <c r="SC145" s="4"/>
      <c r="SD145" s="4"/>
      <c r="SE145" s="4"/>
      <c r="SF145" s="4"/>
      <c r="SG145" s="4"/>
      <c r="SH145" s="4"/>
      <c r="SI145" s="4"/>
      <c r="SJ145" s="4"/>
      <c r="SK145" s="4"/>
      <c r="SL145" s="4"/>
      <c r="SM145" s="4"/>
      <c r="SN145" s="4"/>
      <c r="SO145" s="4"/>
      <c r="SP145" s="4"/>
      <c r="SQ145" s="4"/>
      <c r="SR145" s="4"/>
      <c r="SS145" s="4"/>
      <c r="ST145" s="4"/>
      <c r="SU145" s="4"/>
      <c r="SV145" s="4"/>
      <c r="SW145" s="4"/>
      <c r="SX145" s="4"/>
      <c r="SY145" s="4"/>
      <c r="SZ145" s="4"/>
      <c r="TA145" s="4"/>
      <c r="TB145" s="4"/>
      <c r="TC145" s="4"/>
      <c r="TD145" s="4"/>
      <c r="TE145" s="4"/>
      <c r="TF145" s="4"/>
      <c r="TG145" s="4"/>
      <c r="TH145" s="4"/>
      <c r="TI145" s="4"/>
      <c r="TJ145" s="4"/>
      <c r="TK145" s="4"/>
      <c r="TL145" s="4"/>
      <c r="TM145" s="4"/>
      <c r="TN145" s="4"/>
      <c r="TO145" s="4"/>
      <c r="TP145" s="4"/>
      <c r="TQ145" s="4"/>
      <c r="TR145" s="4"/>
      <c r="TS145" s="4"/>
      <c r="TT145" s="4"/>
      <c r="TU145" s="4"/>
      <c r="TV145" s="4"/>
      <c r="TW145" s="4"/>
      <c r="TX145" s="4"/>
      <c r="TY145" s="4"/>
      <c r="TZ145" s="4"/>
      <c r="UA145" s="4"/>
      <c r="UB145" s="4"/>
      <c r="UC145" s="4"/>
      <c r="UD145" s="4"/>
      <c r="UE145" s="4"/>
      <c r="UF145" s="4"/>
      <c r="UG145" s="4"/>
      <c r="UH145" s="4"/>
      <c r="UI145" s="4"/>
      <c r="UJ145" s="4"/>
      <c r="UK145" s="4"/>
      <c r="UL145" s="4"/>
      <c r="UM145" s="4"/>
      <c r="UN145" s="4"/>
      <c r="UO145" s="4"/>
      <c r="UP145" s="4"/>
      <c r="UQ145" s="4"/>
      <c r="UR145" s="4"/>
      <c r="US145" s="4"/>
      <c r="UT145" s="4"/>
      <c r="UU145" s="4"/>
      <c r="UV145" s="4"/>
      <c r="UW145" s="4"/>
      <c r="UX145" s="4"/>
      <c r="UY145" s="4"/>
      <c r="UZ145" s="4"/>
      <c r="VA145" s="4"/>
      <c r="VB145" s="4"/>
      <c r="VC145" s="4"/>
      <c r="VD145" s="4"/>
      <c r="VE145" s="4"/>
      <c r="VF145" s="4"/>
      <c r="VG145" s="4"/>
      <c r="VH145" s="4"/>
      <c r="VI145" s="4"/>
      <c r="VJ145" s="4"/>
      <c r="VK145" s="4"/>
      <c r="VL145" s="4"/>
      <c r="VM145" s="4"/>
      <c r="VN145" s="4"/>
      <c r="VO145" s="4"/>
      <c r="VP145" s="4"/>
      <c r="VQ145" s="4"/>
      <c r="VR145" s="4"/>
      <c r="VS145" s="4"/>
      <c r="VT145" s="4"/>
      <c r="VU145" s="4"/>
      <c r="VV145" s="4"/>
      <c r="VW145" s="4"/>
      <c r="VX145" s="4"/>
      <c r="VY145" s="4"/>
      <c r="VZ145" s="4"/>
      <c r="WA145" s="4"/>
      <c r="WB145" s="4"/>
      <c r="WC145" s="4"/>
      <c r="WD145" s="4"/>
      <c r="WE145" s="4"/>
      <c r="WF145" s="4"/>
      <c r="WG145" s="4"/>
      <c r="WH145" s="4"/>
      <c r="WI145" s="4"/>
      <c r="WJ145" s="4"/>
      <c r="WK145" s="4"/>
      <c r="WL145" s="4"/>
      <c r="WM145" s="4"/>
      <c r="WN145" s="4"/>
      <c r="WO145" s="4"/>
      <c r="WP145" s="4"/>
      <c r="WQ145" s="4"/>
      <c r="WR145" s="4"/>
      <c r="WS145" s="4"/>
      <c r="WT145" s="4"/>
      <c r="WU145" s="4"/>
      <c r="WV145" s="4"/>
      <c r="WW145" s="4"/>
      <c r="WX145" s="4"/>
      <c r="WY145" s="4"/>
      <c r="WZ145" s="4"/>
      <c r="XA145" s="4"/>
      <c r="XB145" s="4"/>
      <c r="XC145" s="4"/>
      <c r="XD145" s="4"/>
      <c r="XE145" s="4"/>
      <c r="XF145" s="4"/>
      <c r="XG145" s="4"/>
      <c r="XH145" s="4"/>
      <c r="XI145" s="4"/>
      <c r="XJ145" s="4"/>
      <c r="XK145" s="4"/>
      <c r="XL145" s="4"/>
      <c r="XM145" s="4"/>
      <c r="XN145" s="4"/>
      <c r="XO145" s="4"/>
      <c r="XP145" s="4"/>
      <c r="XQ145" s="4"/>
      <c r="XR145" s="4"/>
      <c r="XS145" s="4"/>
      <c r="XT145" s="4"/>
      <c r="XU145" s="4"/>
      <c r="XV145" s="4"/>
      <c r="XW145" s="4"/>
      <c r="XX145" s="4"/>
      <c r="XY145" s="4"/>
      <c r="XZ145" s="4"/>
      <c r="YA145" s="4"/>
      <c r="YB145" s="4"/>
      <c r="YC145" s="4"/>
      <c r="YD145" s="4"/>
      <c r="YE145" s="4"/>
      <c r="YF145" s="4"/>
      <c r="YG145" s="4"/>
      <c r="YH145" s="4"/>
      <c r="YI145" s="4"/>
      <c r="YJ145" s="4"/>
      <c r="YK145" s="4"/>
      <c r="YL145" s="4"/>
      <c r="YM145" s="4"/>
      <c r="YN145" s="4"/>
      <c r="YO145" s="4"/>
      <c r="YP145" s="4"/>
      <c r="YQ145" s="4"/>
      <c r="YR145" s="4"/>
      <c r="YS145" s="4"/>
      <c r="YT145" s="4"/>
      <c r="YU145" s="4"/>
      <c r="YV145" s="4"/>
      <c r="YW145" s="4"/>
      <c r="YX145" s="4"/>
      <c r="YY145" s="4"/>
      <c r="YZ145" s="4"/>
      <c r="ZA145" s="4"/>
      <c r="ZB145" s="4"/>
      <c r="ZC145" s="4"/>
      <c r="ZD145" s="4"/>
      <c r="ZE145" s="4"/>
      <c r="ZF145" s="4"/>
      <c r="ZG145" s="4"/>
      <c r="ZH145" s="4"/>
      <c r="ZI145" s="4"/>
      <c r="ZJ145" s="4"/>
      <c r="ZK145" s="4"/>
      <c r="ZL145" s="4"/>
      <c r="ZM145" s="4"/>
      <c r="ZN145" s="4"/>
      <c r="ZO145" s="4"/>
      <c r="ZP145" s="4"/>
      <c r="ZQ145" s="4"/>
      <c r="ZR145" s="4"/>
      <c r="ZS145" s="4"/>
      <c r="ZT145" s="4"/>
      <c r="ZU145" s="4"/>
      <c r="ZV145" s="4"/>
      <c r="ZW145" s="4"/>
      <c r="ZX145" s="4"/>
      <c r="ZY145" s="4"/>
      <c r="ZZ145" s="4"/>
      <c r="AAA145" s="4"/>
      <c r="AAB145" s="4"/>
      <c r="AAC145" s="4"/>
      <c r="AAD145" s="4"/>
    </row>
    <row r="146" spans="1:706" ht="3" customHeight="1" x14ac:dyDescent="0.15">
      <c r="A146" s="4"/>
      <c r="B146" s="4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13"/>
      <c r="DO146" s="13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4"/>
      <c r="IG146" s="4"/>
      <c r="IH146" s="4"/>
      <c r="II146" s="4"/>
      <c r="IJ146" s="4"/>
      <c r="IK146" s="4"/>
      <c r="IL146" s="4"/>
      <c r="IM146" s="4"/>
      <c r="IN146" s="4"/>
      <c r="IO146" s="4"/>
      <c r="IP146" s="4"/>
      <c r="IQ146" s="4"/>
      <c r="IR146" s="4"/>
      <c r="IS146" s="4"/>
      <c r="IT146" s="4"/>
      <c r="IU146" s="4"/>
      <c r="IV146" s="4"/>
      <c r="IW146" s="4"/>
      <c r="IX146" s="4"/>
      <c r="IY146" s="4"/>
      <c r="IZ146" s="4"/>
      <c r="JA146" s="4"/>
      <c r="JB146" s="4"/>
      <c r="JC146" s="4"/>
      <c r="JD146" s="4"/>
      <c r="JE146" s="4"/>
      <c r="JF146" s="4"/>
      <c r="JG146" s="4"/>
      <c r="JH146" s="4"/>
      <c r="JI146" s="4"/>
      <c r="JJ146" s="4"/>
      <c r="JK146" s="4"/>
      <c r="JL146" s="4"/>
      <c r="JM146" s="4"/>
      <c r="JN146" s="4"/>
      <c r="JO146" s="4"/>
      <c r="JP146" s="4"/>
      <c r="JQ146" s="4"/>
      <c r="JR146" s="4"/>
      <c r="JS146" s="4"/>
      <c r="JT146" s="4"/>
      <c r="JU146" s="4"/>
      <c r="JV146" s="4"/>
      <c r="JW146" s="4"/>
      <c r="JX146" s="4"/>
      <c r="JY146" s="4"/>
      <c r="JZ146" s="4"/>
      <c r="KA146" s="4"/>
      <c r="KB146" s="4"/>
      <c r="KC146" s="4"/>
      <c r="KD146" s="4"/>
      <c r="KE146" s="4"/>
      <c r="KF146" s="4"/>
      <c r="KG146" s="4"/>
      <c r="KH146" s="4"/>
      <c r="KI146" s="4"/>
      <c r="KJ146" s="4"/>
      <c r="KK146" s="4"/>
      <c r="KL146" s="4"/>
      <c r="KM146" s="4"/>
      <c r="KN146" s="4"/>
      <c r="KO146" s="4"/>
      <c r="KP146" s="4"/>
      <c r="KQ146" s="4"/>
      <c r="KR146" s="4"/>
      <c r="KS146" s="4"/>
      <c r="KT146" s="4"/>
      <c r="KU146" s="4"/>
      <c r="KV146" s="4"/>
      <c r="KW146" s="4"/>
      <c r="KX146" s="4"/>
      <c r="KY146" s="4"/>
      <c r="KZ146" s="4"/>
      <c r="LA146" s="4"/>
      <c r="LB146" s="4"/>
      <c r="LC146" s="4"/>
      <c r="LD146" s="4"/>
      <c r="LE146" s="4"/>
      <c r="LF146" s="4"/>
      <c r="LG146" s="4"/>
      <c r="LH146" s="4"/>
      <c r="LI146" s="4"/>
      <c r="LJ146" s="4"/>
      <c r="LK146" s="4"/>
      <c r="LL146" s="4"/>
      <c r="LM146" s="4"/>
      <c r="LN146" s="4"/>
      <c r="LO146" s="4"/>
      <c r="LP146" s="4"/>
      <c r="LQ146" s="4"/>
      <c r="LR146" s="4"/>
      <c r="LS146" s="4"/>
      <c r="LT146" s="4"/>
      <c r="LU146" s="4"/>
      <c r="LV146" s="4"/>
      <c r="LW146" s="4"/>
      <c r="LX146" s="4"/>
      <c r="LY146" s="4"/>
      <c r="LZ146" s="4"/>
      <c r="MA146" s="4"/>
      <c r="MB146" s="4"/>
      <c r="MC146" s="4"/>
      <c r="MD146" s="4"/>
      <c r="ME146" s="4"/>
      <c r="MF146" s="4"/>
      <c r="MG146" s="4"/>
      <c r="MH146" s="4"/>
      <c r="MI146" s="4"/>
      <c r="MJ146" s="4"/>
      <c r="MK146" s="4"/>
      <c r="ML146" s="4"/>
      <c r="MM146" s="4"/>
      <c r="MN146" s="4"/>
      <c r="MO146" s="4"/>
      <c r="MP146" s="4"/>
      <c r="MQ146" s="4"/>
      <c r="MR146" s="4"/>
      <c r="MS146" s="4"/>
      <c r="MT146" s="4"/>
      <c r="MU146" s="4"/>
      <c r="MV146" s="4"/>
      <c r="MW146" s="4"/>
      <c r="MX146" s="4"/>
      <c r="MY146" s="4"/>
      <c r="MZ146" s="4"/>
      <c r="NA146" s="4"/>
      <c r="NB146" s="4"/>
      <c r="NC146" s="4"/>
      <c r="ND146" s="4"/>
      <c r="NE146" s="4"/>
      <c r="NF146" s="4"/>
      <c r="NG146" s="4"/>
      <c r="NH146" s="4"/>
      <c r="NI146" s="4"/>
      <c r="NJ146" s="4"/>
      <c r="NK146" s="4"/>
      <c r="NL146" s="4"/>
      <c r="NM146" s="4"/>
      <c r="NN146" s="4"/>
      <c r="NO146" s="4"/>
      <c r="NP146" s="4"/>
      <c r="NQ146" s="4"/>
      <c r="NR146" s="4"/>
      <c r="NS146" s="4"/>
      <c r="NT146" s="4"/>
      <c r="NU146" s="4"/>
      <c r="NV146" s="4"/>
      <c r="NW146" s="4"/>
      <c r="NX146" s="4"/>
      <c r="NY146" s="4"/>
      <c r="NZ146" s="4"/>
      <c r="OA146" s="4"/>
      <c r="OB146" s="4"/>
      <c r="OC146" s="4"/>
      <c r="OD146" s="4"/>
      <c r="OE146" s="4"/>
      <c r="OF146" s="4"/>
      <c r="OG146" s="4"/>
      <c r="OH146" s="4"/>
      <c r="OI146" s="4"/>
      <c r="OJ146" s="4"/>
      <c r="OK146" s="4"/>
      <c r="OL146" s="4"/>
      <c r="OM146" s="4"/>
      <c r="ON146" s="4"/>
      <c r="OO146" s="4"/>
      <c r="OP146" s="4"/>
      <c r="OQ146" s="4"/>
      <c r="OR146" s="4"/>
      <c r="OS146" s="4"/>
      <c r="OT146" s="4"/>
      <c r="OU146" s="4"/>
      <c r="OV146" s="4"/>
      <c r="OW146" s="4"/>
      <c r="OX146" s="4"/>
      <c r="OY146" s="4"/>
      <c r="OZ146" s="4"/>
      <c r="PA146" s="4"/>
      <c r="PB146" s="4"/>
      <c r="PC146" s="4"/>
      <c r="PD146" s="4"/>
      <c r="PE146" s="4"/>
      <c r="PF146" s="4"/>
      <c r="PG146" s="4"/>
      <c r="PH146" s="4"/>
      <c r="PI146" s="4"/>
      <c r="PJ146" s="4"/>
      <c r="PK146" s="4"/>
      <c r="PL146" s="4"/>
      <c r="PM146" s="4"/>
      <c r="PN146" s="4"/>
      <c r="PO146" s="4"/>
      <c r="PP146" s="4"/>
      <c r="PQ146" s="4"/>
      <c r="PR146" s="4"/>
      <c r="PS146" s="4"/>
      <c r="PT146" s="4"/>
      <c r="PU146" s="4"/>
      <c r="PV146" s="4"/>
      <c r="PW146" s="4"/>
      <c r="PX146" s="4"/>
      <c r="PY146" s="4"/>
      <c r="PZ146" s="4"/>
      <c r="QA146" s="4"/>
      <c r="QB146" s="4"/>
      <c r="QC146" s="4"/>
      <c r="QD146" s="4"/>
      <c r="QE146" s="4"/>
      <c r="QF146" s="4"/>
      <c r="QG146" s="4"/>
      <c r="QH146" s="4"/>
      <c r="QI146" s="4"/>
      <c r="QJ146" s="4"/>
      <c r="QK146" s="4"/>
      <c r="QL146" s="4"/>
      <c r="QM146" s="4"/>
      <c r="QN146" s="4"/>
      <c r="QO146" s="4"/>
      <c r="QP146" s="4"/>
      <c r="QQ146" s="4"/>
      <c r="QR146" s="4"/>
      <c r="QS146" s="4"/>
      <c r="QT146" s="4"/>
      <c r="QU146" s="4"/>
      <c r="QV146" s="4"/>
      <c r="QW146" s="4"/>
      <c r="QX146" s="4"/>
      <c r="QY146" s="4"/>
      <c r="QZ146" s="4"/>
      <c r="RA146" s="4"/>
      <c r="RB146" s="4"/>
      <c r="RC146" s="4"/>
      <c r="RD146" s="4"/>
      <c r="RE146" s="4"/>
      <c r="RF146" s="4"/>
      <c r="RG146" s="4"/>
      <c r="RH146" s="4"/>
      <c r="RI146" s="4"/>
      <c r="RJ146" s="4"/>
      <c r="RK146" s="4"/>
      <c r="RL146" s="4"/>
      <c r="RM146" s="4"/>
      <c r="RN146" s="4"/>
      <c r="RO146" s="4"/>
      <c r="RP146" s="4"/>
      <c r="RQ146" s="4"/>
      <c r="RR146" s="4"/>
      <c r="RS146" s="4"/>
      <c r="RT146" s="4"/>
      <c r="RU146" s="4"/>
      <c r="RV146" s="4"/>
      <c r="RW146" s="4"/>
      <c r="RX146" s="4"/>
      <c r="RY146" s="4"/>
      <c r="RZ146" s="4"/>
      <c r="SA146" s="4"/>
      <c r="SB146" s="4"/>
      <c r="SC146" s="4"/>
      <c r="SD146" s="4"/>
      <c r="SE146" s="4"/>
      <c r="SF146" s="4"/>
      <c r="SG146" s="4"/>
      <c r="SH146" s="4"/>
      <c r="SI146" s="4"/>
      <c r="SJ146" s="4"/>
      <c r="SK146" s="4"/>
      <c r="SL146" s="4"/>
      <c r="SM146" s="4"/>
      <c r="SN146" s="4"/>
      <c r="SO146" s="4"/>
      <c r="SP146" s="4"/>
      <c r="SQ146" s="4"/>
      <c r="SR146" s="4"/>
      <c r="SS146" s="4"/>
      <c r="ST146" s="4"/>
      <c r="SU146" s="4"/>
      <c r="SV146" s="4"/>
      <c r="SW146" s="4"/>
      <c r="SX146" s="4"/>
      <c r="SY146" s="4"/>
      <c r="SZ146" s="4"/>
      <c r="TA146" s="4"/>
      <c r="TB146" s="4"/>
      <c r="TC146" s="4"/>
      <c r="TD146" s="4"/>
      <c r="TE146" s="4"/>
      <c r="TF146" s="4"/>
      <c r="TG146" s="4"/>
      <c r="TH146" s="4"/>
      <c r="TI146" s="4"/>
      <c r="TJ146" s="4"/>
      <c r="TK146" s="4"/>
      <c r="TL146" s="4"/>
      <c r="TM146" s="4"/>
      <c r="TN146" s="4"/>
      <c r="TO146" s="4"/>
      <c r="TP146" s="4"/>
      <c r="TQ146" s="4"/>
      <c r="TR146" s="4"/>
      <c r="TS146" s="4"/>
      <c r="TT146" s="4"/>
      <c r="TU146" s="4"/>
      <c r="TV146" s="4"/>
      <c r="TW146" s="4"/>
      <c r="TX146" s="4"/>
      <c r="TY146" s="4"/>
      <c r="TZ146" s="4"/>
      <c r="UA146" s="4"/>
      <c r="UB146" s="4"/>
      <c r="UC146" s="4"/>
      <c r="UD146" s="4"/>
      <c r="UE146" s="4"/>
      <c r="UF146" s="4"/>
      <c r="UG146" s="4"/>
      <c r="UH146" s="4"/>
      <c r="UI146" s="4"/>
      <c r="UJ146" s="4"/>
      <c r="UK146" s="4"/>
      <c r="UL146" s="4"/>
      <c r="UM146" s="4"/>
      <c r="UN146" s="4"/>
      <c r="UO146" s="4"/>
      <c r="UP146" s="4"/>
      <c r="UQ146" s="4"/>
      <c r="UR146" s="4"/>
      <c r="US146" s="4"/>
      <c r="UT146" s="4"/>
      <c r="UU146" s="4"/>
      <c r="UV146" s="4"/>
      <c r="UW146" s="4"/>
      <c r="UX146" s="4"/>
      <c r="UY146" s="4"/>
      <c r="UZ146" s="4"/>
      <c r="VA146" s="4"/>
      <c r="VB146" s="4"/>
      <c r="VC146" s="4"/>
      <c r="VD146" s="4"/>
      <c r="VE146" s="4"/>
      <c r="VF146" s="4"/>
      <c r="VG146" s="4"/>
      <c r="VH146" s="4"/>
      <c r="VI146" s="4"/>
      <c r="VJ146" s="4"/>
      <c r="VK146" s="4"/>
      <c r="VL146" s="4"/>
      <c r="VM146" s="4"/>
      <c r="VN146" s="4"/>
      <c r="VO146" s="4"/>
      <c r="VP146" s="4"/>
      <c r="VQ146" s="4"/>
      <c r="VR146" s="4"/>
      <c r="VS146" s="4"/>
      <c r="VT146" s="4"/>
      <c r="VU146" s="4"/>
      <c r="VV146" s="4"/>
      <c r="VW146" s="4"/>
      <c r="VX146" s="4"/>
      <c r="VY146" s="4"/>
      <c r="VZ146" s="4"/>
      <c r="WA146" s="4"/>
      <c r="WB146" s="4"/>
      <c r="WC146" s="4"/>
      <c r="WD146" s="4"/>
      <c r="WE146" s="4"/>
      <c r="WF146" s="4"/>
      <c r="WG146" s="4"/>
      <c r="WH146" s="4"/>
      <c r="WI146" s="4"/>
      <c r="WJ146" s="4"/>
      <c r="WK146" s="4"/>
      <c r="WL146" s="4"/>
      <c r="WM146" s="4"/>
      <c r="WN146" s="4"/>
      <c r="WO146" s="4"/>
      <c r="WP146" s="4"/>
      <c r="WQ146" s="4"/>
      <c r="WR146" s="4"/>
      <c r="WS146" s="4"/>
      <c r="WT146" s="4"/>
      <c r="WU146" s="4"/>
      <c r="WV146" s="4"/>
      <c r="WW146" s="4"/>
      <c r="WX146" s="4"/>
      <c r="WY146" s="4"/>
      <c r="WZ146" s="4"/>
      <c r="XA146" s="4"/>
      <c r="XB146" s="4"/>
      <c r="XC146" s="4"/>
      <c r="XD146" s="4"/>
      <c r="XE146" s="4"/>
      <c r="XF146" s="4"/>
      <c r="XG146" s="4"/>
      <c r="XH146" s="4"/>
      <c r="XI146" s="4"/>
      <c r="XJ146" s="4"/>
      <c r="XK146" s="4"/>
      <c r="XL146" s="4"/>
      <c r="XM146" s="4"/>
      <c r="XN146" s="4"/>
      <c r="XO146" s="4"/>
      <c r="XP146" s="4"/>
      <c r="XQ146" s="4"/>
      <c r="XR146" s="4"/>
      <c r="XS146" s="4"/>
      <c r="XT146" s="4"/>
      <c r="XU146" s="4"/>
      <c r="XV146" s="4"/>
      <c r="XW146" s="4"/>
      <c r="XX146" s="4"/>
      <c r="XY146" s="4"/>
      <c r="XZ146" s="4"/>
      <c r="YA146" s="4"/>
      <c r="YB146" s="4"/>
      <c r="YC146" s="4"/>
      <c r="YD146" s="4"/>
      <c r="YE146" s="4"/>
      <c r="YF146" s="4"/>
      <c r="YG146" s="4"/>
      <c r="YH146" s="4"/>
      <c r="YI146" s="4"/>
      <c r="YJ146" s="4"/>
      <c r="YK146" s="4"/>
      <c r="YL146" s="4"/>
      <c r="YM146" s="4"/>
      <c r="YN146" s="4"/>
      <c r="YO146" s="4"/>
      <c r="YP146" s="4"/>
      <c r="YQ146" s="4"/>
      <c r="YR146" s="4"/>
      <c r="YS146" s="4"/>
      <c r="YT146" s="4"/>
      <c r="YU146" s="4"/>
      <c r="YV146" s="4"/>
      <c r="YW146" s="4"/>
      <c r="YX146" s="4"/>
      <c r="YY146" s="4"/>
      <c r="YZ146" s="4"/>
      <c r="ZA146" s="4"/>
      <c r="ZB146" s="4"/>
      <c r="ZC146" s="4"/>
      <c r="ZD146" s="4"/>
      <c r="ZE146" s="4"/>
      <c r="ZF146" s="4"/>
      <c r="ZG146" s="4"/>
      <c r="ZH146" s="4"/>
      <c r="ZI146" s="4"/>
      <c r="ZJ146" s="4"/>
      <c r="ZK146" s="4"/>
      <c r="ZL146" s="4"/>
      <c r="ZM146" s="4"/>
      <c r="ZN146" s="4"/>
      <c r="ZO146" s="4"/>
      <c r="ZP146" s="4"/>
      <c r="ZQ146" s="4"/>
      <c r="ZR146" s="4"/>
      <c r="ZS146" s="4"/>
      <c r="ZT146" s="4"/>
      <c r="ZU146" s="4"/>
      <c r="ZV146" s="4"/>
      <c r="ZW146" s="4"/>
      <c r="ZX146" s="4"/>
      <c r="ZY146" s="4"/>
      <c r="ZZ146" s="4"/>
      <c r="AAA146" s="4"/>
      <c r="AAB146" s="4"/>
      <c r="AAC146" s="4"/>
      <c r="AAD146" s="4"/>
    </row>
    <row r="147" spans="1:706" ht="4.5" customHeight="1" x14ac:dyDescent="0.15">
      <c r="A147" s="4"/>
      <c r="B147" s="4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13"/>
      <c r="DO147" s="13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  <c r="IC147" s="4"/>
      <c r="ID147" s="4"/>
      <c r="IE147" s="4"/>
      <c r="IF147" s="4"/>
      <c r="IG147" s="4"/>
      <c r="IH147" s="4"/>
      <c r="II147" s="4"/>
      <c r="IJ147" s="4"/>
      <c r="IK147" s="4"/>
      <c r="IL147" s="4"/>
      <c r="IM147" s="4"/>
      <c r="IN147" s="4"/>
      <c r="IO147" s="4"/>
      <c r="IP147" s="4"/>
      <c r="IQ147" s="4"/>
      <c r="IR147" s="4"/>
      <c r="IS147" s="4"/>
      <c r="IT147" s="4"/>
      <c r="IU147" s="4"/>
      <c r="IV147" s="4"/>
      <c r="IW147" s="4"/>
      <c r="IX147" s="4"/>
      <c r="IY147" s="4"/>
      <c r="IZ147" s="4"/>
      <c r="JA147" s="4"/>
      <c r="JB147" s="4"/>
      <c r="JC147" s="4"/>
      <c r="JD147" s="4"/>
      <c r="JE147" s="4"/>
      <c r="JF147" s="4"/>
      <c r="JG147" s="4"/>
      <c r="JH147" s="4"/>
      <c r="JI147" s="4"/>
      <c r="JJ147" s="4"/>
      <c r="JK147" s="4"/>
      <c r="JL147" s="4"/>
      <c r="JM147" s="4"/>
      <c r="JN147" s="4"/>
      <c r="JO147" s="4"/>
      <c r="JP147" s="4"/>
      <c r="JQ147" s="4"/>
      <c r="JR147" s="4"/>
      <c r="JS147" s="4"/>
      <c r="JT147" s="4"/>
      <c r="JU147" s="4"/>
      <c r="JV147" s="4"/>
      <c r="JW147" s="4"/>
      <c r="JX147" s="4"/>
      <c r="JY147" s="4"/>
      <c r="JZ147" s="4"/>
      <c r="KA147" s="4"/>
      <c r="KB147" s="4"/>
      <c r="KC147" s="4"/>
      <c r="KD147" s="4"/>
      <c r="KE147" s="4"/>
      <c r="KF147" s="4"/>
      <c r="KG147" s="4"/>
      <c r="KH147" s="4"/>
      <c r="KI147" s="4"/>
      <c r="KJ147" s="4"/>
      <c r="KK147" s="4"/>
      <c r="KL147" s="4"/>
      <c r="KM147" s="4"/>
      <c r="KN147" s="4"/>
      <c r="KO147" s="4"/>
      <c r="KP147" s="4"/>
      <c r="KQ147" s="4"/>
      <c r="KR147" s="4"/>
      <c r="KS147" s="4"/>
      <c r="KT147" s="4"/>
      <c r="KU147" s="4"/>
      <c r="KV147" s="4"/>
      <c r="KW147" s="4"/>
      <c r="KX147" s="4"/>
      <c r="KY147" s="4"/>
      <c r="KZ147" s="4"/>
      <c r="LA147" s="4"/>
      <c r="LB147" s="4"/>
      <c r="LC147" s="4"/>
      <c r="LD147" s="4"/>
      <c r="LE147" s="4"/>
      <c r="LF147" s="4"/>
      <c r="LG147" s="4"/>
      <c r="LH147" s="4"/>
      <c r="LI147" s="4"/>
      <c r="LJ147" s="4"/>
      <c r="LK147" s="4"/>
      <c r="LL147" s="4"/>
      <c r="LM147" s="4"/>
      <c r="LN147" s="4"/>
      <c r="LO147" s="4"/>
      <c r="LP147" s="4"/>
      <c r="LQ147" s="4"/>
      <c r="LR147" s="4"/>
      <c r="LS147" s="4"/>
      <c r="LT147" s="4"/>
      <c r="LU147" s="4"/>
      <c r="LV147" s="4"/>
      <c r="LW147" s="4"/>
      <c r="LX147" s="4"/>
      <c r="LY147" s="4"/>
      <c r="LZ147" s="4"/>
      <c r="MA147" s="4"/>
      <c r="MB147" s="4"/>
      <c r="MC147" s="4"/>
      <c r="MD147" s="4"/>
      <c r="ME147" s="4"/>
      <c r="MF147" s="4"/>
      <c r="MG147" s="4"/>
      <c r="MH147" s="4"/>
      <c r="MI147" s="4"/>
      <c r="MJ147" s="4"/>
      <c r="MK147" s="4"/>
      <c r="ML147" s="4"/>
      <c r="MM147" s="4"/>
      <c r="MN147" s="4"/>
      <c r="MO147" s="4"/>
      <c r="MP147" s="4"/>
      <c r="MQ147" s="4"/>
      <c r="MR147" s="4"/>
      <c r="MS147" s="4"/>
      <c r="MT147" s="4"/>
      <c r="MU147" s="4"/>
      <c r="MV147" s="4"/>
      <c r="MW147" s="4"/>
      <c r="MX147" s="4"/>
      <c r="MY147" s="4"/>
      <c r="MZ147" s="4"/>
      <c r="NA147" s="4"/>
      <c r="NB147" s="4"/>
      <c r="NC147" s="4"/>
      <c r="ND147" s="4"/>
      <c r="NE147" s="4"/>
      <c r="NF147" s="4"/>
      <c r="NG147" s="4"/>
      <c r="NH147" s="4"/>
      <c r="NI147" s="4"/>
      <c r="NJ147" s="4"/>
      <c r="NK147" s="4"/>
      <c r="NL147" s="4"/>
      <c r="NM147" s="4"/>
      <c r="NN147" s="4"/>
      <c r="NO147" s="4"/>
      <c r="NP147" s="4"/>
      <c r="NQ147" s="4"/>
      <c r="NR147" s="4"/>
      <c r="NS147" s="4"/>
      <c r="NT147" s="4"/>
      <c r="NU147" s="4"/>
      <c r="NV147" s="4"/>
      <c r="NW147" s="4"/>
      <c r="NX147" s="4"/>
      <c r="NY147" s="4"/>
      <c r="NZ147" s="4"/>
      <c r="OA147" s="4"/>
      <c r="OB147" s="4"/>
      <c r="OC147" s="4"/>
      <c r="OD147" s="4"/>
      <c r="OE147" s="4"/>
      <c r="OF147" s="4"/>
      <c r="OG147" s="4"/>
      <c r="OH147" s="4"/>
      <c r="OI147" s="4"/>
      <c r="OJ147" s="4"/>
      <c r="OK147" s="4"/>
      <c r="OL147" s="4"/>
      <c r="OM147" s="4"/>
      <c r="ON147" s="4"/>
      <c r="OO147" s="4"/>
      <c r="OP147" s="4"/>
      <c r="OQ147" s="4"/>
      <c r="OR147" s="4"/>
      <c r="OS147" s="4"/>
      <c r="OT147" s="4"/>
      <c r="OU147" s="4"/>
      <c r="OV147" s="4"/>
      <c r="OW147" s="4"/>
      <c r="OX147" s="4"/>
      <c r="OY147" s="4"/>
      <c r="OZ147" s="4"/>
      <c r="PA147" s="4"/>
      <c r="PB147" s="4"/>
      <c r="PC147" s="4"/>
      <c r="PD147" s="4"/>
      <c r="PE147" s="4"/>
      <c r="PF147" s="4"/>
      <c r="PG147" s="4"/>
      <c r="PH147" s="4"/>
      <c r="PI147" s="4"/>
      <c r="PJ147" s="4"/>
      <c r="PK147" s="4"/>
      <c r="PL147" s="4"/>
      <c r="PM147" s="4"/>
      <c r="PN147" s="4"/>
      <c r="PO147" s="4"/>
      <c r="PP147" s="4"/>
      <c r="PQ147" s="4"/>
      <c r="PR147" s="4"/>
      <c r="PS147" s="4"/>
      <c r="PT147" s="4"/>
      <c r="PU147" s="4"/>
      <c r="PV147" s="4"/>
      <c r="PW147" s="4"/>
      <c r="PX147" s="4"/>
      <c r="PY147" s="4"/>
      <c r="PZ147" s="4"/>
      <c r="QA147" s="4"/>
      <c r="QB147" s="4"/>
      <c r="QC147" s="4"/>
      <c r="QD147" s="4"/>
      <c r="QE147" s="4"/>
      <c r="QF147" s="4"/>
      <c r="QG147" s="4"/>
      <c r="QH147" s="4"/>
      <c r="QI147" s="4"/>
      <c r="QJ147" s="4"/>
      <c r="QK147" s="4"/>
      <c r="QL147" s="4"/>
      <c r="QM147" s="4"/>
      <c r="QN147" s="4"/>
      <c r="QO147" s="4"/>
      <c r="QP147" s="4"/>
      <c r="QQ147" s="4"/>
      <c r="QR147" s="4"/>
      <c r="QS147" s="4"/>
      <c r="QT147" s="4"/>
      <c r="QU147" s="4"/>
      <c r="QV147" s="4"/>
      <c r="QW147" s="4"/>
      <c r="QX147" s="4"/>
      <c r="QY147" s="4"/>
      <c r="QZ147" s="4"/>
      <c r="RA147" s="4"/>
      <c r="RB147" s="4"/>
      <c r="RC147" s="4"/>
      <c r="RD147" s="4"/>
      <c r="RE147" s="4"/>
      <c r="RF147" s="4"/>
      <c r="RG147" s="4"/>
      <c r="RH147" s="4"/>
      <c r="RI147" s="4"/>
      <c r="RJ147" s="4"/>
      <c r="RK147" s="4"/>
      <c r="RL147" s="4"/>
      <c r="RM147" s="4"/>
      <c r="RN147" s="4"/>
      <c r="RO147" s="4"/>
      <c r="RP147" s="4"/>
      <c r="RQ147" s="4"/>
      <c r="RR147" s="4"/>
      <c r="RS147" s="4"/>
      <c r="RT147" s="4"/>
      <c r="RU147" s="4"/>
      <c r="RV147" s="4"/>
      <c r="RW147" s="4"/>
      <c r="RX147" s="4"/>
      <c r="RY147" s="4"/>
      <c r="RZ147" s="4"/>
      <c r="SA147" s="4"/>
      <c r="SB147" s="4"/>
      <c r="SC147" s="4"/>
      <c r="SD147" s="4"/>
      <c r="SE147" s="4"/>
      <c r="SF147" s="4"/>
      <c r="SG147" s="4"/>
      <c r="SH147" s="4"/>
      <c r="SI147" s="4"/>
      <c r="SJ147" s="4"/>
      <c r="SK147" s="4"/>
      <c r="SL147" s="4"/>
      <c r="SM147" s="4"/>
      <c r="SN147" s="4"/>
      <c r="SO147" s="4"/>
      <c r="SP147" s="4"/>
      <c r="SQ147" s="4"/>
      <c r="SR147" s="4"/>
      <c r="SS147" s="4"/>
      <c r="ST147" s="4"/>
      <c r="SU147" s="4"/>
      <c r="SV147" s="4"/>
      <c r="SW147" s="4"/>
      <c r="SX147" s="4"/>
      <c r="SY147" s="4"/>
      <c r="SZ147" s="4"/>
      <c r="TA147" s="4"/>
      <c r="TB147" s="4"/>
      <c r="TC147" s="4"/>
      <c r="TD147" s="4"/>
      <c r="TE147" s="4"/>
      <c r="TF147" s="4"/>
      <c r="TG147" s="4"/>
      <c r="TH147" s="4"/>
      <c r="TI147" s="4"/>
      <c r="TJ147" s="4"/>
      <c r="TK147" s="4"/>
      <c r="TL147" s="4"/>
      <c r="TM147" s="4"/>
      <c r="TN147" s="4"/>
      <c r="TO147" s="4"/>
      <c r="TP147" s="4"/>
      <c r="TQ147" s="4"/>
      <c r="TR147" s="4"/>
      <c r="TS147" s="4"/>
      <c r="TT147" s="4"/>
      <c r="TU147" s="4"/>
      <c r="TV147" s="4"/>
      <c r="TW147" s="4"/>
      <c r="TX147" s="4"/>
      <c r="TY147" s="4"/>
      <c r="TZ147" s="4"/>
      <c r="UA147" s="4"/>
      <c r="UB147" s="4"/>
      <c r="UC147" s="4"/>
      <c r="UD147" s="4"/>
      <c r="UE147" s="4"/>
      <c r="UF147" s="4"/>
      <c r="UG147" s="4"/>
      <c r="UH147" s="4"/>
      <c r="UI147" s="4"/>
      <c r="UJ147" s="4"/>
      <c r="UK147" s="4"/>
      <c r="UL147" s="4"/>
      <c r="UM147" s="4"/>
      <c r="UN147" s="4"/>
      <c r="UO147" s="4"/>
      <c r="UP147" s="4"/>
      <c r="UQ147" s="4"/>
      <c r="UR147" s="4"/>
      <c r="US147" s="4"/>
      <c r="UT147" s="4"/>
      <c r="UU147" s="4"/>
      <c r="UV147" s="4"/>
      <c r="UW147" s="4"/>
      <c r="UX147" s="4"/>
      <c r="UY147" s="4"/>
      <c r="UZ147" s="4"/>
      <c r="VA147" s="4"/>
      <c r="VB147" s="4"/>
      <c r="VC147" s="4"/>
      <c r="VD147" s="4"/>
      <c r="VE147" s="4"/>
      <c r="VF147" s="4"/>
      <c r="VG147" s="4"/>
      <c r="VH147" s="4"/>
      <c r="VI147" s="4"/>
      <c r="VJ147" s="4"/>
      <c r="VK147" s="4"/>
      <c r="VL147" s="4"/>
      <c r="VM147" s="4"/>
      <c r="VN147" s="4"/>
      <c r="VO147" s="4"/>
      <c r="VP147" s="4"/>
      <c r="VQ147" s="4"/>
      <c r="VR147" s="4"/>
      <c r="VS147" s="4"/>
      <c r="VT147" s="4"/>
      <c r="VU147" s="4"/>
      <c r="VV147" s="4"/>
      <c r="VW147" s="4"/>
      <c r="VX147" s="4"/>
      <c r="VY147" s="4"/>
      <c r="VZ147" s="4"/>
      <c r="WA147" s="4"/>
      <c r="WB147" s="4"/>
      <c r="WC147" s="4"/>
      <c r="WD147" s="4"/>
      <c r="WE147" s="4"/>
      <c r="WF147" s="4"/>
      <c r="WG147" s="4"/>
      <c r="WH147" s="4"/>
      <c r="WI147" s="4"/>
      <c r="WJ147" s="4"/>
      <c r="WK147" s="4"/>
      <c r="WL147" s="4"/>
      <c r="WM147" s="4"/>
      <c r="WN147" s="4"/>
      <c r="WO147" s="4"/>
      <c r="WP147" s="4"/>
      <c r="WQ147" s="4"/>
      <c r="WR147" s="4"/>
      <c r="WS147" s="4"/>
      <c r="WT147" s="4"/>
      <c r="WU147" s="4"/>
      <c r="WV147" s="4"/>
      <c r="WW147" s="4"/>
      <c r="WX147" s="4"/>
      <c r="WY147" s="4"/>
      <c r="WZ147" s="4"/>
      <c r="XA147" s="4"/>
      <c r="XB147" s="4"/>
      <c r="XC147" s="4"/>
      <c r="XD147" s="4"/>
      <c r="XE147" s="4"/>
      <c r="XF147" s="4"/>
      <c r="XG147" s="4"/>
      <c r="XH147" s="4"/>
      <c r="XI147" s="4"/>
      <c r="XJ147" s="4"/>
      <c r="XK147" s="4"/>
      <c r="XL147" s="4"/>
      <c r="XM147" s="4"/>
      <c r="XN147" s="4"/>
      <c r="XO147" s="4"/>
      <c r="XP147" s="4"/>
      <c r="XQ147" s="4"/>
      <c r="XR147" s="4"/>
      <c r="XS147" s="4"/>
      <c r="XT147" s="4"/>
      <c r="XU147" s="4"/>
      <c r="XV147" s="4"/>
      <c r="XW147" s="4"/>
      <c r="XX147" s="4"/>
      <c r="XY147" s="4"/>
      <c r="XZ147" s="4"/>
      <c r="YA147" s="4"/>
      <c r="YB147" s="4"/>
      <c r="YC147" s="4"/>
      <c r="YD147" s="4"/>
      <c r="YE147" s="4"/>
      <c r="YF147" s="4"/>
      <c r="YG147" s="4"/>
      <c r="YH147" s="4"/>
      <c r="YI147" s="4"/>
      <c r="YJ147" s="4"/>
      <c r="YK147" s="4"/>
      <c r="YL147" s="4"/>
      <c r="YM147" s="4"/>
      <c r="YN147" s="4"/>
      <c r="YO147" s="4"/>
      <c r="YP147" s="4"/>
      <c r="YQ147" s="4"/>
      <c r="YR147" s="4"/>
      <c r="YS147" s="4"/>
      <c r="YT147" s="4"/>
      <c r="YU147" s="4"/>
      <c r="YV147" s="4"/>
      <c r="YW147" s="4"/>
      <c r="YX147" s="4"/>
      <c r="YY147" s="4"/>
      <c r="YZ147" s="4"/>
      <c r="ZA147" s="4"/>
      <c r="ZB147" s="4"/>
      <c r="ZC147" s="4"/>
      <c r="ZD147" s="4"/>
      <c r="ZE147" s="4"/>
      <c r="ZF147" s="4"/>
      <c r="ZG147" s="4"/>
      <c r="ZH147" s="4"/>
      <c r="ZI147" s="4"/>
      <c r="ZJ147" s="4"/>
      <c r="ZK147" s="4"/>
      <c r="ZL147" s="4"/>
      <c r="ZM147" s="4"/>
      <c r="ZN147" s="4"/>
      <c r="ZO147" s="4"/>
      <c r="ZP147" s="4"/>
      <c r="ZQ147" s="4"/>
      <c r="ZR147" s="4"/>
      <c r="ZS147" s="4"/>
      <c r="ZT147" s="4"/>
      <c r="ZU147" s="4"/>
      <c r="ZV147" s="4"/>
      <c r="ZW147" s="4"/>
      <c r="ZX147" s="4"/>
      <c r="ZY147" s="4"/>
      <c r="ZZ147" s="4"/>
      <c r="AAA147" s="4"/>
      <c r="AAB147" s="4"/>
      <c r="AAC147" s="4"/>
      <c r="AAD147" s="4"/>
    </row>
    <row r="148" spans="1:706" ht="4.5" customHeight="1" x14ac:dyDescent="0.15">
      <c r="A148" s="13"/>
      <c r="C148" s="22"/>
      <c r="D148" s="58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  <c r="BD148" s="59"/>
      <c r="BE148" s="59"/>
      <c r="BF148" s="59"/>
      <c r="BG148" s="59"/>
      <c r="BH148" s="59"/>
      <c r="BI148" s="59"/>
      <c r="BJ148" s="59"/>
      <c r="BK148" s="59"/>
      <c r="BL148" s="59"/>
      <c r="BM148" s="59"/>
      <c r="BN148" s="59"/>
      <c r="BO148" s="59"/>
      <c r="BP148" s="59"/>
      <c r="BQ148" s="59"/>
      <c r="BR148" s="59"/>
      <c r="BS148" s="59"/>
      <c r="BT148" s="59"/>
      <c r="BU148" s="59"/>
      <c r="BV148" s="59"/>
      <c r="BW148" s="59"/>
      <c r="BX148" s="59"/>
      <c r="BY148" s="59"/>
      <c r="BZ148" s="59"/>
      <c r="CA148" s="59"/>
      <c r="CB148" s="59"/>
      <c r="CC148" s="59"/>
      <c r="CD148" s="59"/>
      <c r="CE148" s="59"/>
      <c r="CF148" s="59"/>
      <c r="CG148" s="59"/>
      <c r="CH148" s="59"/>
      <c r="CI148" s="59"/>
      <c r="CJ148" s="59"/>
      <c r="CK148" s="59"/>
      <c r="CL148" s="59"/>
      <c r="CM148" s="59"/>
      <c r="CN148" s="59"/>
      <c r="CO148" s="59"/>
      <c r="CP148" s="59"/>
      <c r="CQ148" s="59"/>
      <c r="CR148" s="59"/>
      <c r="CS148" s="59"/>
      <c r="CT148" s="59"/>
      <c r="CU148" s="59"/>
      <c r="CV148" s="59"/>
      <c r="CW148" s="59"/>
      <c r="CX148" s="59"/>
      <c r="CY148" s="59"/>
      <c r="CZ148" s="59"/>
      <c r="DA148" s="59"/>
      <c r="DB148" s="59"/>
      <c r="DC148" s="59"/>
      <c r="DD148" s="59"/>
      <c r="DE148" s="59"/>
      <c r="DF148" s="59"/>
      <c r="DG148" s="59"/>
      <c r="DH148" s="59"/>
      <c r="DI148" s="59"/>
      <c r="DJ148" s="59"/>
      <c r="DK148" s="59"/>
      <c r="DL148" s="60"/>
      <c r="DM148" s="22"/>
      <c r="DN148" s="13"/>
      <c r="DO148" s="24"/>
    </row>
    <row r="149" spans="1:706" ht="12.75" customHeight="1" x14ac:dyDescent="0.15">
      <c r="A149" s="13"/>
      <c r="C149" s="22"/>
      <c r="D149" s="61"/>
      <c r="E149" s="181" t="s">
        <v>41</v>
      </c>
      <c r="F149" s="106"/>
      <c r="G149" s="106"/>
      <c r="H149" s="106"/>
      <c r="I149" s="106"/>
      <c r="J149" s="166"/>
      <c r="K149" s="165" t="s">
        <v>42</v>
      </c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  <c r="AI149" s="106"/>
      <c r="AJ149" s="106"/>
      <c r="AK149" s="106"/>
      <c r="AL149" s="106"/>
      <c r="AM149" s="106"/>
      <c r="AN149" s="106"/>
      <c r="AO149" s="106"/>
      <c r="AP149" s="106"/>
      <c r="AQ149" s="106"/>
      <c r="AR149" s="106"/>
      <c r="AS149" s="106"/>
      <c r="AT149" s="106"/>
      <c r="AU149" s="106"/>
      <c r="AV149" s="106"/>
      <c r="AW149" s="106"/>
      <c r="AX149" s="106"/>
      <c r="AY149" s="106"/>
      <c r="AZ149" s="106"/>
      <c r="BA149" s="106"/>
      <c r="BB149" s="106"/>
      <c r="BC149" s="106"/>
      <c r="BD149" s="166"/>
      <c r="BE149" s="172" t="s">
        <v>43</v>
      </c>
      <c r="BF149" s="106"/>
      <c r="BG149" s="106"/>
      <c r="BH149" s="106"/>
      <c r="BI149" s="106"/>
      <c r="BJ149" s="166"/>
      <c r="BK149" s="172" t="s">
        <v>37</v>
      </c>
      <c r="BL149" s="106"/>
      <c r="BM149" s="106"/>
      <c r="BN149" s="106"/>
      <c r="BO149" s="106"/>
      <c r="BP149" s="106"/>
      <c r="BQ149" s="106"/>
      <c r="BR149" s="106"/>
      <c r="BS149" s="106"/>
      <c r="BT149" s="106"/>
      <c r="BU149" s="106"/>
      <c r="BV149" s="106"/>
      <c r="BW149" s="106"/>
      <c r="BX149" s="106"/>
      <c r="BY149" s="106"/>
      <c r="BZ149" s="106"/>
      <c r="CA149" s="106"/>
      <c r="CB149" s="106"/>
      <c r="CC149" s="106"/>
      <c r="CD149" s="106"/>
      <c r="CE149" s="106"/>
      <c r="CF149" s="106"/>
      <c r="CG149" s="106"/>
      <c r="CH149" s="106"/>
      <c r="CI149" s="106"/>
      <c r="CJ149" s="106"/>
      <c r="CK149" s="166"/>
      <c r="CL149" s="165" t="s">
        <v>44</v>
      </c>
      <c r="CM149" s="106"/>
      <c r="CN149" s="106"/>
      <c r="CO149" s="106"/>
      <c r="CP149" s="106"/>
      <c r="CQ149" s="106"/>
      <c r="CR149" s="106"/>
      <c r="CS149" s="106"/>
      <c r="CT149" s="106"/>
      <c r="CU149" s="106"/>
      <c r="CV149" s="106"/>
      <c r="CW149" s="166"/>
      <c r="CX149" s="165" t="s">
        <v>45</v>
      </c>
      <c r="CY149" s="106"/>
      <c r="CZ149" s="106"/>
      <c r="DA149" s="106"/>
      <c r="DB149" s="106"/>
      <c r="DC149" s="106"/>
      <c r="DD149" s="106"/>
      <c r="DE149" s="166"/>
      <c r="DF149" s="165" t="s">
        <v>46</v>
      </c>
      <c r="DG149" s="106"/>
      <c r="DH149" s="106"/>
      <c r="DI149" s="106"/>
      <c r="DJ149" s="106"/>
      <c r="DK149" s="167"/>
      <c r="DL149" s="62"/>
      <c r="DM149" s="22"/>
    </row>
    <row r="150" spans="1:706" ht="12.75" customHeight="1" x14ac:dyDescent="0.15">
      <c r="A150" s="67"/>
      <c r="C150" s="22"/>
      <c r="D150" s="61"/>
      <c r="E150" s="182" t="s">
        <v>47</v>
      </c>
      <c r="F150" s="106"/>
      <c r="G150" s="106"/>
      <c r="H150" s="106"/>
      <c r="I150" s="106"/>
      <c r="J150" s="166"/>
      <c r="K150" s="221" t="s">
        <v>48</v>
      </c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  <c r="AE150" s="106"/>
      <c r="AF150" s="106"/>
      <c r="AG150" s="106"/>
      <c r="AH150" s="106"/>
      <c r="AI150" s="106"/>
      <c r="AJ150" s="106"/>
      <c r="AK150" s="106"/>
      <c r="AL150" s="106"/>
      <c r="AM150" s="106"/>
      <c r="AN150" s="106"/>
      <c r="AO150" s="106"/>
      <c r="AP150" s="106"/>
      <c r="AQ150" s="106"/>
      <c r="AR150" s="106"/>
      <c r="AS150" s="106"/>
      <c r="AT150" s="106"/>
      <c r="AU150" s="106"/>
      <c r="AV150" s="106"/>
      <c r="AW150" s="106"/>
      <c r="AX150" s="106"/>
      <c r="AY150" s="106"/>
      <c r="AZ150" s="106"/>
      <c r="BA150" s="106"/>
      <c r="BB150" s="106"/>
      <c r="BC150" s="106"/>
      <c r="BD150" s="166"/>
      <c r="BE150" s="222" t="s">
        <v>47</v>
      </c>
      <c r="BF150" s="106"/>
      <c r="BG150" s="106"/>
      <c r="BH150" s="106"/>
      <c r="BI150" s="106"/>
      <c r="BJ150" s="166"/>
      <c r="BK150" s="173" t="s">
        <v>49</v>
      </c>
      <c r="BL150" s="106"/>
      <c r="BM150" s="106"/>
      <c r="BN150" s="106"/>
      <c r="BO150" s="106"/>
      <c r="BP150" s="106"/>
      <c r="BQ150" s="106"/>
      <c r="BR150" s="106"/>
      <c r="BS150" s="106"/>
      <c r="BT150" s="106"/>
      <c r="BU150" s="106"/>
      <c r="BV150" s="106"/>
      <c r="BW150" s="106"/>
      <c r="BX150" s="106"/>
      <c r="BY150" s="106"/>
      <c r="BZ150" s="106"/>
      <c r="CA150" s="106"/>
      <c r="CB150" s="106"/>
      <c r="CC150" s="106"/>
      <c r="CD150" s="106"/>
      <c r="CE150" s="106"/>
      <c r="CF150" s="106"/>
      <c r="CG150" s="106"/>
      <c r="CH150" s="106"/>
      <c r="CI150" s="106"/>
      <c r="CJ150" s="106"/>
      <c r="CK150" s="166"/>
      <c r="CL150" s="174" t="s">
        <v>50</v>
      </c>
      <c r="CM150" s="106"/>
      <c r="CN150" s="106"/>
      <c r="CO150" s="106"/>
      <c r="CP150" s="106"/>
      <c r="CQ150" s="106"/>
      <c r="CR150" s="106"/>
      <c r="CS150" s="106"/>
      <c r="CT150" s="106"/>
      <c r="CU150" s="106"/>
      <c r="CV150" s="106"/>
      <c r="CW150" s="166"/>
      <c r="CX150" s="165" t="s">
        <v>51</v>
      </c>
      <c r="CY150" s="106"/>
      <c r="CZ150" s="106"/>
      <c r="DA150" s="106"/>
      <c r="DB150" s="106"/>
      <c r="DC150" s="106"/>
      <c r="DD150" s="106"/>
      <c r="DE150" s="166"/>
      <c r="DF150" s="165" t="s">
        <v>51</v>
      </c>
      <c r="DG150" s="106"/>
      <c r="DH150" s="106"/>
      <c r="DI150" s="106"/>
      <c r="DJ150" s="106"/>
      <c r="DK150" s="167"/>
      <c r="DL150" s="62"/>
      <c r="DM150" s="22"/>
    </row>
    <row r="151" spans="1:706" ht="1.5" customHeight="1" x14ac:dyDescent="0.15">
      <c r="A151" s="67">
        <v>5</v>
      </c>
      <c r="C151" s="22"/>
      <c r="D151" s="61"/>
      <c r="E151" s="68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69"/>
      <c r="AJ151" s="69"/>
      <c r="AK151" s="69"/>
      <c r="AL151" s="69"/>
      <c r="AM151" s="69"/>
      <c r="AN151" s="69"/>
      <c r="AO151" s="69"/>
      <c r="AP151" s="69"/>
      <c r="AQ151" s="69"/>
      <c r="AR151" s="69"/>
      <c r="AS151" s="69"/>
      <c r="AT151" s="69"/>
      <c r="AU151" s="69"/>
      <c r="AV151" s="69"/>
      <c r="AW151" s="69"/>
      <c r="AX151" s="69"/>
      <c r="AY151" s="69"/>
      <c r="AZ151" s="69"/>
      <c r="BA151" s="69"/>
      <c r="BB151" s="69"/>
      <c r="BC151" s="69"/>
      <c r="BD151" s="69"/>
      <c r="BE151" s="69"/>
      <c r="BF151" s="69"/>
      <c r="BG151" s="69"/>
      <c r="BH151" s="69"/>
      <c r="BI151" s="69"/>
      <c r="BJ151" s="69"/>
      <c r="BK151" s="69"/>
      <c r="BL151" s="69"/>
      <c r="BM151" s="69"/>
      <c r="BN151" s="69"/>
      <c r="BO151" s="69"/>
      <c r="BP151" s="69"/>
      <c r="BQ151" s="69"/>
      <c r="BR151" s="69"/>
      <c r="BS151" s="69"/>
      <c r="BT151" s="69"/>
      <c r="BU151" s="69"/>
      <c r="BV151" s="69"/>
      <c r="BW151" s="69"/>
      <c r="BX151" s="69"/>
      <c r="BY151" s="69"/>
      <c r="BZ151" s="69"/>
      <c r="CA151" s="69"/>
      <c r="CB151" s="69"/>
      <c r="CC151" s="69"/>
      <c r="CD151" s="69"/>
      <c r="CE151" s="69"/>
      <c r="CF151" s="69"/>
      <c r="CG151" s="69"/>
      <c r="CH151" s="69"/>
      <c r="CI151" s="69"/>
      <c r="CJ151" s="69"/>
      <c r="CK151" s="69"/>
      <c r="CL151" s="69"/>
      <c r="CM151" s="69"/>
      <c r="CN151" s="69"/>
      <c r="CO151" s="69"/>
      <c r="CP151" s="69"/>
      <c r="CQ151" s="69"/>
      <c r="CR151" s="69"/>
      <c r="CS151" s="69"/>
      <c r="CT151" s="69"/>
      <c r="CU151" s="69"/>
      <c r="CV151" s="69"/>
      <c r="CW151" s="69"/>
      <c r="CX151" s="69"/>
      <c r="CY151" s="69"/>
      <c r="CZ151" s="69"/>
      <c r="DA151" s="69"/>
      <c r="DB151" s="69"/>
      <c r="DC151" s="69"/>
      <c r="DD151" s="69"/>
      <c r="DE151" s="69"/>
      <c r="DF151" s="69"/>
      <c r="DG151" s="69"/>
      <c r="DH151" s="69"/>
      <c r="DI151" s="69"/>
      <c r="DJ151" s="69"/>
      <c r="DK151" s="70"/>
      <c r="DL151" s="62"/>
      <c r="DM151" s="22"/>
    </row>
    <row r="152" spans="1:706" ht="24" customHeight="1" x14ac:dyDescent="0.15">
      <c r="A152" s="67">
        <v>32</v>
      </c>
      <c r="C152" s="22"/>
      <c r="D152" s="61"/>
      <c r="E152" s="178" t="s">
        <v>52</v>
      </c>
      <c r="F152" s="152"/>
      <c r="G152" s="152"/>
      <c r="H152" s="152"/>
      <c r="I152" s="152"/>
      <c r="J152" s="153"/>
      <c r="K152" s="175" t="s">
        <v>53</v>
      </c>
      <c r="L152" s="160"/>
      <c r="M152" s="160"/>
      <c r="N152" s="160"/>
      <c r="O152" s="185"/>
      <c r="P152" s="160"/>
      <c r="Q152" s="160"/>
      <c r="R152" s="160"/>
      <c r="S152" s="160"/>
      <c r="T152" s="160"/>
      <c r="U152" s="160"/>
      <c r="V152" s="160"/>
      <c r="W152" s="160"/>
      <c r="X152" s="160"/>
      <c r="Y152" s="160"/>
      <c r="Z152" s="160"/>
      <c r="AA152" s="160"/>
      <c r="AB152" s="160"/>
      <c r="AC152" s="160"/>
      <c r="AD152" s="160"/>
      <c r="AE152" s="160"/>
      <c r="AF152" s="160"/>
      <c r="AG152" s="160"/>
      <c r="AH152" s="160"/>
      <c r="AI152" s="160"/>
      <c r="AJ152" s="160"/>
      <c r="AK152" s="160"/>
      <c r="AL152" s="160"/>
      <c r="AM152" s="160"/>
      <c r="AN152" s="160"/>
      <c r="AO152" s="160"/>
      <c r="AP152" s="160"/>
      <c r="AQ152" s="160"/>
      <c r="AR152" s="160"/>
      <c r="AS152" s="160"/>
      <c r="AT152" s="160"/>
      <c r="AU152" s="160"/>
      <c r="AV152" s="160"/>
      <c r="AW152" s="160"/>
      <c r="AX152" s="160"/>
      <c r="AY152" s="160"/>
      <c r="AZ152" s="160"/>
      <c r="BA152" s="160"/>
      <c r="BB152" s="160"/>
      <c r="BC152" s="160"/>
      <c r="BD152" s="161"/>
      <c r="BE152" s="163"/>
      <c r="BF152" s="160"/>
      <c r="BG152" s="160"/>
      <c r="BH152" s="160"/>
      <c r="BI152" s="160"/>
      <c r="BJ152" s="161"/>
      <c r="BK152" s="216"/>
      <c r="BL152" s="152"/>
      <c r="BM152" s="152"/>
      <c r="BN152" s="152"/>
      <c r="BO152" s="152"/>
      <c r="BP152" s="152"/>
      <c r="BQ152" s="152"/>
      <c r="BR152" s="152"/>
      <c r="BS152" s="152"/>
      <c r="BT152" s="152"/>
      <c r="BU152" s="152"/>
      <c r="BV152" s="152"/>
      <c r="BW152" s="152"/>
      <c r="BX152" s="152"/>
      <c r="BY152" s="152"/>
      <c r="BZ152" s="152"/>
      <c r="CA152" s="152"/>
      <c r="CB152" s="152"/>
      <c r="CC152" s="152"/>
      <c r="CD152" s="152"/>
      <c r="CE152" s="152"/>
      <c r="CF152" s="152"/>
      <c r="CG152" s="152"/>
      <c r="CH152" s="152"/>
      <c r="CI152" s="152"/>
      <c r="CJ152" s="152"/>
      <c r="CK152" s="153"/>
      <c r="CL152" s="159"/>
      <c r="CM152" s="160"/>
      <c r="CN152" s="160"/>
      <c r="CO152" s="160"/>
      <c r="CP152" s="160"/>
      <c r="CQ152" s="160"/>
      <c r="CR152" s="160"/>
      <c r="CS152" s="160"/>
      <c r="CT152" s="160"/>
      <c r="CU152" s="160"/>
      <c r="CV152" s="160"/>
      <c r="CW152" s="161"/>
      <c r="CX152" s="162"/>
      <c r="CY152" s="160"/>
      <c r="CZ152" s="160"/>
      <c r="DA152" s="160"/>
      <c r="DB152" s="160"/>
      <c r="DC152" s="160"/>
      <c r="DD152" s="160"/>
      <c r="DE152" s="161"/>
      <c r="DF152" s="163"/>
      <c r="DG152" s="160"/>
      <c r="DH152" s="160"/>
      <c r="DI152" s="160"/>
      <c r="DJ152" s="160"/>
      <c r="DK152" s="164"/>
      <c r="DL152" s="62"/>
      <c r="DM152" s="22"/>
    </row>
    <row r="153" spans="1:706" ht="24" customHeight="1" x14ac:dyDescent="0.15">
      <c r="A153" s="67">
        <v>32</v>
      </c>
      <c r="C153" s="22"/>
      <c r="D153" s="61"/>
      <c r="E153" s="179"/>
      <c r="F153" s="118"/>
      <c r="G153" s="118"/>
      <c r="H153" s="118"/>
      <c r="I153" s="118"/>
      <c r="J153" s="155"/>
      <c r="K153" s="176" t="s">
        <v>54</v>
      </c>
      <c r="L153" s="136"/>
      <c r="M153" s="136"/>
      <c r="N153" s="136"/>
      <c r="O153" s="183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6"/>
      <c r="AH153" s="136"/>
      <c r="AI153" s="136"/>
      <c r="AJ153" s="136"/>
      <c r="AK153" s="136"/>
      <c r="AL153" s="136"/>
      <c r="AM153" s="136"/>
      <c r="AN153" s="136"/>
      <c r="AO153" s="136"/>
      <c r="AP153" s="136"/>
      <c r="AQ153" s="136"/>
      <c r="AR153" s="136"/>
      <c r="AS153" s="136"/>
      <c r="AT153" s="136"/>
      <c r="AU153" s="136"/>
      <c r="AV153" s="136"/>
      <c r="AW153" s="136"/>
      <c r="AX153" s="136"/>
      <c r="AY153" s="136"/>
      <c r="AZ153" s="136"/>
      <c r="BA153" s="136"/>
      <c r="BB153" s="136"/>
      <c r="BC153" s="136"/>
      <c r="BD153" s="137"/>
      <c r="BE153" s="168"/>
      <c r="BF153" s="136"/>
      <c r="BG153" s="136"/>
      <c r="BH153" s="136"/>
      <c r="BI153" s="136"/>
      <c r="BJ153" s="137"/>
      <c r="BK153" s="118"/>
      <c r="BL153" s="118"/>
      <c r="BM153" s="118"/>
      <c r="BN153" s="118"/>
      <c r="BO153" s="118"/>
      <c r="BP153" s="118"/>
      <c r="BQ153" s="118"/>
      <c r="BR153" s="118"/>
      <c r="BS153" s="118"/>
      <c r="BT153" s="118"/>
      <c r="BU153" s="118"/>
      <c r="BV153" s="118"/>
      <c r="BW153" s="118"/>
      <c r="BX153" s="118"/>
      <c r="BY153" s="118"/>
      <c r="BZ153" s="118"/>
      <c r="CA153" s="118"/>
      <c r="CB153" s="118"/>
      <c r="CC153" s="118"/>
      <c r="CD153" s="118"/>
      <c r="CE153" s="118"/>
      <c r="CF153" s="118"/>
      <c r="CG153" s="118"/>
      <c r="CH153" s="118"/>
      <c r="CI153" s="118"/>
      <c r="CJ153" s="118"/>
      <c r="CK153" s="155"/>
      <c r="CL153" s="149"/>
      <c r="CM153" s="136"/>
      <c r="CN153" s="136"/>
      <c r="CO153" s="136"/>
      <c r="CP153" s="136"/>
      <c r="CQ153" s="136"/>
      <c r="CR153" s="136"/>
      <c r="CS153" s="136"/>
      <c r="CT153" s="136"/>
      <c r="CU153" s="136"/>
      <c r="CV153" s="136"/>
      <c r="CW153" s="137"/>
      <c r="CX153" s="150"/>
      <c r="CY153" s="136"/>
      <c r="CZ153" s="136"/>
      <c r="DA153" s="136"/>
      <c r="DB153" s="136"/>
      <c r="DC153" s="136"/>
      <c r="DD153" s="136"/>
      <c r="DE153" s="137"/>
      <c r="DF153" s="168"/>
      <c r="DG153" s="136"/>
      <c r="DH153" s="136"/>
      <c r="DI153" s="136"/>
      <c r="DJ153" s="136"/>
      <c r="DK153" s="169"/>
      <c r="DL153" s="62"/>
      <c r="DM153" s="22"/>
    </row>
    <row r="154" spans="1:706" ht="24" customHeight="1" x14ac:dyDescent="0.15">
      <c r="A154" s="67">
        <v>32</v>
      </c>
      <c r="C154" s="22"/>
      <c r="D154" s="61"/>
      <c r="E154" s="180"/>
      <c r="F154" s="157"/>
      <c r="G154" s="157"/>
      <c r="H154" s="157"/>
      <c r="I154" s="157"/>
      <c r="J154" s="158"/>
      <c r="K154" s="177" t="s">
        <v>55</v>
      </c>
      <c r="L154" s="146"/>
      <c r="M154" s="146"/>
      <c r="N154" s="146"/>
      <c r="O154" s="184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  <c r="AB154" s="146"/>
      <c r="AC154" s="146"/>
      <c r="AD154" s="146"/>
      <c r="AE154" s="146"/>
      <c r="AF154" s="146"/>
      <c r="AG154" s="146"/>
      <c r="AH154" s="146"/>
      <c r="AI154" s="146"/>
      <c r="AJ154" s="146"/>
      <c r="AK154" s="146"/>
      <c r="AL154" s="146"/>
      <c r="AM154" s="146"/>
      <c r="AN154" s="146"/>
      <c r="AO154" s="146"/>
      <c r="AP154" s="146"/>
      <c r="AQ154" s="146"/>
      <c r="AR154" s="146"/>
      <c r="AS154" s="146"/>
      <c r="AT154" s="146"/>
      <c r="AU154" s="146"/>
      <c r="AV154" s="146"/>
      <c r="AW154" s="146"/>
      <c r="AX154" s="146"/>
      <c r="AY154" s="146"/>
      <c r="AZ154" s="146"/>
      <c r="BA154" s="146"/>
      <c r="BB154" s="146"/>
      <c r="BC154" s="146"/>
      <c r="BD154" s="147"/>
      <c r="BE154" s="170"/>
      <c r="BF154" s="146"/>
      <c r="BG154" s="146"/>
      <c r="BH154" s="146"/>
      <c r="BI154" s="146"/>
      <c r="BJ154" s="147"/>
      <c r="BK154" s="157"/>
      <c r="BL154" s="157"/>
      <c r="BM154" s="157"/>
      <c r="BN154" s="157"/>
      <c r="BO154" s="157"/>
      <c r="BP154" s="157"/>
      <c r="BQ154" s="157"/>
      <c r="BR154" s="157"/>
      <c r="BS154" s="157"/>
      <c r="BT154" s="157"/>
      <c r="BU154" s="157"/>
      <c r="BV154" s="157"/>
      <c r="BW154" s="157"/>
      <c r="BX154" s="157"/>
      <c r="BY154" s="157"/>
      <c r="BZ154" s="157"/>
      <c r="CA154" s="157"/>
      <c r="CB154" s="157"/>
      <c r="CC154" s="157"/>
      <c r="CD154" s="157"/>
      <c r="CE154" s="157"/>
      <c r="CF154" s="157"/>
      <c r="CG154" s="157"/>
      <c r="CH154" s="157"/>
      <c r="CI154" s="157"/>
      <c r="CJ154" s="157"/>
      <c r="CK154" s="158"/>
      <c r="CL154" s="145"/>
      <c r="CM154" s="146"/>
      <c r="CN154" s="146"/>
      <c r="CO154" s="146"/>
      <c r="CP154" s="146"/>
      <c r="CQ154" s="146"/>
      <c r="CR154" s="146"/>
      <c r="CS154" s="146"/>
      <c r="CT154" s="146"/>
      <c r="CU154" s="146"/>
      <c r="CV154" s="146"/>
      <c r="CW154" s="147"/>
      <c r="CX154" s="148"/>
      <c r="CY154" s="146"/>
      <c r="CZ154" s="146"/>
      <c r="DA154" s="146"/>
      <c r="DB154" s="146"/>
      <c r="DC154" s="146"/>
      <c r="DD154" s="146"/>
      <c r="DE154" s="147"/>
      <c r="DF154" s="170"/>
      <c r="DG154" s="146"/>
      <c r="DH154" s="146"/>
      <c r="DI154" s="146"/>
      <c r="DJ154" s="146"/>
      <c r="DK154" s="171"/>
      <c r="DL154" s="62"/>
      <c r="DM154" s="22"/>
    </row>
    <row r="155" spans="1:706" ht="24" customHeight="1" x14ac:dyDescent="0.15">
      <c r="A155" s="67">
        <v>32</v>
      </c>
      <c r="C155" s="22"/>
      <c r="D155" s="61"/>
      <c r="E155" s="178" t="s">
        <v>56</v>
      </c>
      <c r="F155" s="152"/>
      <c r="G155" s="152"/>
      <c r="H155" s="152"/>
      <c r="I155" s="152"/>
      <c r="J155" s="153"/>
      <c r="K155" s="175" t="s">
        <v>57</v>
      </c>
      <c r="L155" s="160"/>
      <c r="M155" s="160"/>
      <c r="N155" s="160"/>
      <c r="O155" s="185"/>
      <c r="P155" s="160"/>
      <c r="Q155" s="160"/>
      <c r="R155" s="160"/>
      <c r="S155" s="160"/>
      <c r="T155" s="160"/>
      <c r="U155" s="160"/>
      <c r="V155" s="160"/>
      <c r="W155" s="160"/>
      <c r="X155" s="160"/>
      <c r="Y155" s="160"/>
      <c r="Z155" s="160"/>
      <c r="AA155" s="160"/>
      <c r="AB155" s="160"/>
      <c r="AC155" s="160"/>
      <c r="AD155" s="160"/>
      <c r="AE155" s="160"/>
      <c r="AF155" s="160"/>
      <c r="AG155" s="160"/>
      <c r="AH155" s="160"/>
      <c r="AI155" s="160"/>
      <c r="AJ155" s="160"/>
      <c r="AK155" s="160"/>
      <c r="AL155" s="160"/>
      <c r="AM155" s="160"/>
      <c r="AN155" s="160"/>
      <c r="AO155" s="160"/>
      <c r="AP155" s="160"/>
      <c r="AQ155" s="160"/>
      <c r="AR155" s="160"/>
      <c r="AS155" s="160"/>
      <c r="AT155" s="160"/>
      <c r="AU155" s="160"/>
      <c r="AV155" s="160"/>
      <c r="AW155" s="160"/>
      <c r="AX155" s="160"/>
      <c r="AY155" s="160"/>
      <c r="AZ155" s="160"/>
      <c r="BA155" s="160"/>
      <c r="BB155" s="160"/>
      <c r="BC155" s="160"/>
      <c r="BD155" s="161"/>
      <c r="BE155" s="163"/>
      <c r="BF155" s="160"/>
      <c r="BG155" s="160"/>
      <c r="BH155" s="160"/>
      <c r="BI155" s="160"/>
      <c r="BJ155" s="161"/>
      <c r="BK155" s="151"/>
      <c r="BL155" s="152"/>
      <c r="BM155" s="152"/>
      <c r="BN155" s="152"/>
      <c r="BO155" s="152"/>
      <c r="BP155" s="152"/>
      <c r="BQ155" s="152"/>
      <c r="BR155" s="152"/>
      <c r="BS155" s="152"/>
      <c r="BT155" s="152"/>
      <c r="BU155" s="152"/>
      <c r="BV155" s="152"/>
      <c r="BW155" s="152"/>
      <c r="BX155" s="152"/>
      <c r="BY155" s="152"/>
      <c r="BZ155" s="152"/>
      <c r="CA155" s="152"/>
      <c r="CB155" s="152"/>
      <c r="CC155" s="152"/>
      <c r="CD155" s="152"/>
      <c r="CE155" s="152"/>
      <c r="CF155" s="152"/>
      <c r="CG155" s="152"/>
      <c r="CH155" s="152"/>
      <c r="CI155" s="152"/>
      <c r="CJ155" s="152"/>
      <c r="CK155" s="153"/>
      <c r="CL155" s="159"/>
      <c r="CM155" s="160"/>
      <c r="CN155" s="160"/>
      <c r="CO155" s="160"/>
      <c r="CP155" s="160"/>
      <c r="CQ155" s="160"/>
      <c r="CR155" s="160"/>
      <c r="CS155" s="160"/>
      <c r="CT155" s="160"/>
      <c r="CU155" s="160"/>
      <c r="CV155" s="160"/>
      <c r="CW155" s="161"/>
      <c r="CX155" s="162"/>
      <c r="CY155" s="160"/>
      <c r="CZ155" s="160"/>
      <c r="DA155" s="160"/>
      <c r="DB155" s="160"/>
      <c r="DC155" s="160"/>
      <c r="DD155" s="160"/>
      <c r="DE155" s="161"/>
      <c r="DF155" s="163"/>
      <c r="DG155" s="160"/>
      <c r="DH155" s="160"/>
      <c r="DI155" s="160"/>
      <c r="DJ155" s="160"/>
      <c r="DK155" s="164"/>
      <c r="DL155" s="62"/>
      <c r="DM155" s="22"/>
    </row>
    <row r="156" spans="1:706" ht="24" customHeight="1" x14ac:dyDescent="0.15">
      <c r="A156" s="67">
        <v>32</v>
      </c>
      <c r="C156" s="22"/>
      <c r="D156" s="61"/>
      <c r="E156" s="179"/>
      <c r="F156" s="118"/>
      <c r="G156" s="118"/>
      <c r="H156" s="118"/>
      <c r="I156" s="118"/>
      <c r="J156" s="155"/>
      <c r="K156" s="176" t="s">
        <v>58</v>
      </c>
      <c r="L156" s="136"/>
      <c r="M156" s="136"/>
      <c r="N156" s="136"/>
      <c r="O156" s="183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6"/>
      <c r="AH156" s="136"/>
      <c r="AI156" s="136"/>
      <c r="AJ156" s="136"/>
      <c r="AK156" s="136"/>
      <c r="AL156" s="136"/>
      <c r="AM156" s="136"/>
      <c r="AN156" s="136"/>
      <c r="AO156" s="136"/>
      <c r="AP156" s="136"/>
      <c r="AQ156" s="136"/>
      <c r="AR156" s="136"/>
      <c r="AS156" s="136"/>
      <c r="AT156" s="136"/>
      <c r="AU156" s="136"/>
      <c r="AV156" s="136"/>
      <c r="AW156" s="136"/>
      <c r="AX156" s="136"/>
      <c r="AY156" s="136"/>
      <c r="AZ156" s="136"/>
      <c r="BA156" s="136"/>
      <c r="BB156" s="136"/>
      <c r="BC156" s="136"/>
      <c r="BD156" s="137"/>
      <c r="BE156" s="168"/>
      <c r="BF156" s="136"/>
      <c r="BG156" s="136"/>
      <c r="BH156" s="136"/>
      <c r="BI156" s="136"/>
      <c r="BJ156" s="137"/>
      <c r="BK156" s="154"/>
      <c r="BL156" s="118"/>
      <c r="BM156" s="118"/>
      <c r="BN156" s="118"/>
      <c r="BO156" s="118"/>
      <c r="BP156" s="118"/>
      <c r="BQ156" s="118"/>
      <c r="BR156" s="118"/>
      <c r="BS156" s="118"/>
      <c r="BT156" s="118"/>
      <c r="BU156" s="118"/>
      <c r="BV156" s="118"/>
      <c r="BW156" s="118"/>
      <c r="BX156" s="118"/>
      <c r="BY156" s="118"/>
      <c r="BZ156" s="118"/>
      <c r="CA156" s="118"/>
      <c r="CB156" s="118"/>
      <c r="CC156" s="118"/>
      <c r="CD156" s="118"/>
      <c r="CE156" s="118"/>
      <c r="CF156" s="118"/>
      <c r="CG156" s="118"/>
      <c r="CH156" s="118"/>
      <c r="CI156" s="118"/>
      <c r="CJ156" s="118"/>
      <c r="CK156" s="155"/>
      <c r="CL156" s="149"/>
      <c r="CM156" s="136"/>
      <c r="CN156" s="136"/>
      <c r="CO156" s="136"/>
      <c r="CP156" s="136"/>
      <c r="CQ156" s="136"/>
      <c r="CR156" s="136"/>
      <c r="CS156" s="136"/>
      <c r="CT156" s="136"/>
      <c r="CU156" s="136"/>
      <c r="CV156" s="136"/>
      <c r="CW156" s="137"/>
      <c r="CX156" s="150"/>
      <c r="CY156" s="136"/>
      <c r="CZ156" s="136"/>
      <c r="DA156" s="136"/>
      <c r="DB156" s="136"/>
      <c r="DC156" s="136"/>
      <c r="DD156" s="136"/>
      <c r="DE156" s="137"/>
      <c r="DF156" s="168"/>
      <c r="DG156" s="136"/>
      <c r="DH156" s="136"/>
      <c r="DI156" s="136"/>
      <c r="DJ156" s="136"/>
      <c r="DK156" s="169"/>
      <c r="DL156" s="62"/>
      <c r="DM156" s="22"/>
    </row>
    <row r="157" spans="1:706" ht="24" customHeight="1" x14ac:dyDescent="0.15">
      <c r="A157" s="67">
        <v>32</v>
      </c>
      <c r="C157" s="22"/>
      <c r="D157" s="61"/>
      <c r="E157" s="180"/>
      <c r="F157" s="157"/>
      <c r="G157" s="157"/>
      <c r="H157" s="157"/>
      <c r="I157" s="157"/>
      <c r="J157" s="158"/>
      <c r="K157" s="177" t="s">
        <v>59</v>
      </c>
      <c r="L157" s="146"/>
      <c r="M157" s="146"/>
      <c r="N157" s="146"/>
      <c r="O157" s="184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  <c r="AB157" s="146"/>
      <c r="AC157" s="146"/>
      <c r="AD157" s="146"/>
      <c r="AE157" s="146"/>
      <c r="AF157" s="146"/>
      <c r="AG157" s="146"/>
      <c r="AH157" s="146"/>
      <c r="AI157" s="146"/>
      <c r="AJ157" s="146"/>
      <c r="AK157" s="146"/>
      <c r="AL157" s="146"/>
      <c r="AM157" s="146"/>
      <c r="AN157" s="146"/>
      <c r="AO157" s="146"/>
      <c r="AP157" s="146"/>
      <c r="AQ157" s="146"/>
      <c r="AR157" s="146"/>
      <c r="AS157" s="146"/>
      <c r="AT157" s="146"/>
      <c r="AU157" s="146"/>
      <c r="AV157" s="146"/>
      <c r="AW157" s="146"/>
      <c r="AX157" s="146"/>
      <c r="AY157" s="146"/>
      <c r="AZ157" s="146"/>
      <c r="BA157" s="146"/>
      <c r="BB157" s="146"/>
      <c r="BC157" s="146"/>
      <c r="BD157" s="147"/>
      <c r="BE157" s="170"/>
      <c r="BF157" s="146"/>
      <c r="BG157" s="146"/>
      <c r="BH157" s="146"/>
      <c r="BI157" s="146"/>
      <c r="BJ157" s="147"/>
      <c r="BK157" s="156"/>
      <c r="BL157" s="157"/>
      <c r="BM157" s="157"/>
      <c r="BN157" s="157"/>
      <c r="BO157" s="157"/>
      <c r="BP157" s="157"/>
      <c r="BQ157" s="157"/>
      <c r="BR157" s="157"/>
      <c r="BS157" s="157"/>
      <c r="BT157" s="157"/>
      <c r="BU157" s="157"/>
      <c r="BV157" s="157"/>
      <c r="BW157" s="157"/>
      <c r="BX157" s="157"/>
      <c r="BY157" s="157"/>
      <c r="BZ157" s="157"/>
      <c r="CA157" s="157"/>
      <c r="CB157" s="157"/>
      <c r="CC157" s="157"/>
      <c r="CD157" s="157"/>
      <c r="CE157" s="157"/>
      <c r="CF157" s="157"/>
      <c r="CG157" s="157"/>
      <c r="CH157" s="157"/>
      <c r="CI157" s="157"/>
      <c r="CJ157" s="157"/>
      <c r="CK157" s="158"/>
      <c r="CL157" s="145"/>
      <c r="CM157" s="146"/>
      <c r="CN157" s="146"/>
      <c r="CO157" s="146"/>
      <c r="CP157" s="146"/>
      <c r="CQ157" s="146"/>
      <c r="CR157" s="146"/>
      <c r="CS157" s="146"/>
      <c r="CT157" s="146"/>
      <c r="CU157" s="146"/>
      <c r="CV157" s="146"/>
      <c r="CW157" s="147"/>
      <c r="CX157" s="148"/>
      <c r="CY157" s="146"/>
      <c r="CZ157" s="146"/>
      <c r="DA157" s="146"/>
      <c r="DB157" s="146"/>
      <c r="DC157" s="146"/>
      <c r="DD157" s="146"/>
      <c r="DE157" s="147"/>
      <c r="DF157" s="170"/>
      <c r="DG157" s="146"/>
      <c r="DH157" s="146"/>
      <c r="DI157" s="146"/>
      <c r="DJ157" s="146"/>
      <c r="DK157" s="171"/>
      <c r="DL157" s="62"/>
      <c r="DM157" s="22"/>
    </row>
    <row r="158" spans="1:706" ht="24" customHeight="1" x14ac:dyDescent="0.15">
      <c r="A158" s="67">
        <v>32</v>
      </c>
      <c r="C158" s="22"/>
      <c r="D158" s="61"/>
      <c r="E158" s="178" t="s">
        <v>60</v>
      </c>
      <c r="F158" s="152"/>
      <c r="G158" s="152"/>
      <c r="H158" s="152"/>
      <c r="I158" s="152"/>
      <c r="J158" s="153"/>
      <c r="K158" s="175" t="s">
        <v>61</v>
      </c>
      <c r="L158" s="160"/>
      <c r="M158" s="160"/>
      <c r="N158" s="160"/>
      <c r="O158" s="185"/>
      <c r="P158" s="160"/>
      <c r="Q158" s="160"/>
      <c r="R158" s="160"/>
      <c r="S158" s="160"/>
      <c r="T158" s="160"/>
      <c r="U158" s="160"/>
      <c r="V158" s="160"/>
      <c r="W158" s="160"/>
      <c r="X158" s="160"/>
      <c r="Y158" s="160"/>
      <c r="Z158" s="160"/>
      <c r="AA158" s="160"/>
      <c r="AB158" s="160"/>
      <c r="AC158" s="160"/>
      <c r="AD158" s="160"/>
      <c r="AE158" s="160"/>
      <c r="AF158" s="160"/>
      <c r="AG158" s="160"/>
      <c r="AH158" s="160"/>
      <c r="AI158" s="160"/>
      <c r="AJ158" s="160"/>
      <c r="AK158" s="160"/>
      <c r="AL158" s="160"/>
      <c r="AM158" s="160"/>
      <c r="AN158" s="160"/>
      <c r="AO158" s="160"/>
      <c r="AP158" s="160"/>
      <c r="AQ158" s="160"/>
      <c r="AR158" s="160"/>
      <c r="AS158" s="160"/>
      <c r="AT158" s="160"/>
      <c r="AU158" s="160"/>
      <c r="AV158" s="160"/>
      <c r="AW158" s="160"/>
      <c r="AX158" s="160"/>
      <c r="AY158" s="160"/>
      <c r="AZ158" s="160"/>
      <c r="BA158" s="160"/>
      <c r="BB158" s="160"/>
      <c r="BC158" s="160"/>
      <c r="BD158" s="161"/>
      <c r="BE158" s="163"/>
      <c r="BF158" s="160"/>
      <c r="BG158" s="160"/>
      <c r="BH158" s="160"/>
      <c r="BI158" s="160"/>
      <c r="BJ158" s="161"/>
      <c r="BK158" s="151"/>
      <c r="BL158" s="152"/>
      <c r="BM158" s="152"/>
      <c r="BN158" s="152"/>
      <c r="BO158" s="152"/>
      <c r="BP158" s="152"/>
      <c r="BQ158" s="152"/>
      <c r="BR158" s="152"/>
      <c r="BS158" s="152"/>
      <c r="BT158" s="152"/>
      <c r="BU158" s="152"/>
      <c r="BV158" s="152"/>
      <c r="BW158" s="152"/>
      <c r="BX158" s="152"/>
      <c r="BY158" s="152"/>
      <c r="BZ158" s="152"/>
      <c r="CA158" s="152"/>
      <c r="CB158" s="152"/>
      <c r="CC158" s="152"/>
      <c r="CD158" s="152"/>
      <c r="CE158" s="152"/>
      <c r="CF158" s="152"/>
      <c r="CG158" s="152"/>
      <c r="CH158" s="152"/>
      <c r="CI158" s="152"/>
      <c r="CJ158" s="152"/>
      <c r="CK158" s="153"/>
      <c r="CL158" s="159"/>
      <c r="CM158" s="160"/>
      <c r="CN158" s="160"/>
      <c r="CO158" s="160"/>
      <c r="CP158" s="160"/>
      <c r="CQ158" s="160"/>
      <c r="CR158" s="160"/>
      <c r="CS158" s="160"/>
      <c r="CT158" s="160"/>
      <c r="CU158" s="160"/>
      <c r="CV158" s="160"/>
      <c r="CW158" s="161"/>
      <c r="CX158" s="162"/>
      <c r="CY158" s="160"/>
      <c r="CZ158" s="160"/>
      <c r="DA158" s="160"/>
      <c r="DB158" s="160"/>
      <c r="DC158" s="160"/>
      <c r="DD158" s="160"/>
      <c r="DE158" s="161"/>
      <c r="DF158" s="163"/>
      <c r="DG158" s="160"/>
      <c r="DH158" s="160"/>
      <c r="DI158" s="160"/>
      <c r="DJ158" s="160"/>
      <c r="DK158" s="164"/>
      <c r="DL158" s="62"/>
      <c r="DM158" s="22"/>
    </row>
    <row r="159" spans="1:706" ht="24" customHeight="1" x14ac:dyDescent="0.15">
      <c r="A159" s="67">
        <v>32</v>
      </c>
      <c r="C159" s="22"/>
      <c r="D159" s="61"/>
      <c r="E159" s="179"/>
      <c r="F159" s="118"/>
      <c r="G159" s="118"/>
      <c r="H159" s="118"/>
      <c r="I159" s="118"/>
      <c r="J159" s="155"/>
      <c r="K159" s="176" t="s">
        <v>62</v>
      </c>
      <c r="L159" s="136"/>
      <c r="M159" s="136"/>
      <c r="N159" s="136"/>
      <c r="O159" s="183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6"/>
      <c r="AH159" s="136"/>
      <c r="AI159" s="136"/>
      <c r="AJ159" s="136"/>
      <c r="AK159" s="136"/>
      <c r="AL159" s="136"/>
      <c r="AM159" s="136"/>
      <c r="AN159" s="136"/>
      <c r="AO159" s="136"/>
      <c r="AP159" s="136"/>
      <c r="AQ159" s="136"/>
      <c r="AR159" s="136"/>
      <c r="AS159" s="136"/>
      <c r="AT159" s="136"/>
      <c r="AU159" s="136"/>
      <c r="AV159" s="136"/>
      <c r="AW159" s="136"/>
      <c r="AX159" s="136"/>
      <c r="AY159" s="136"/>
      <c r="AZ159" s="136"/>
      <c r="BA159" s="136"/>
      <c r="BB159" s="136"/>
      <c r="BC159" s="136"/>
      <c r="BD159" s="137"/>
      <c r="BE159" s="168"/>
      <c r="BF159" s="136"/>
      <c r="BG159" s="136"/>
      <c r="BH159" s="136"/>
      <c r="BI159" s="136"/>
      <c r="BJ159" s="137"/>
      <c r="BK159" s="154"/>
      <c r="BL159" s="118"/>
      <c r="BM159" s="118"/>
      <c r="BN159" s="118"/>
      <c r="BO159" s="118"/>
      <c r="BP159" s="118"/>
      <c r="BQ159" s="118"/>
      <c r="BR159" s="118"/>
      <c r="BS159" s="118"/>
      <c r="BT159" s="118"/>
      <c r="BU159" s="118"/>
      <c r="BV159" s="118"/>
      <c r="BW159" s="118"/>
      <c r="BX159" s="118"/>
      <c r="BY159" s="118"/>
      <c r="BZ159" s="118"/>
      <c r="CA159" s="118"/>
      <c r="CB159" s="118"/>
      <c r="CC159" s="118"/>
      <c r="CD159" s="118"/>
      <c r="CE159" s="118"/>
      <c r="CF159" s="118"/>
      <c r="CG159" s="118"/>
      <c r="CH159" s="118"/>
      <c r="CI159" s="118"/>
      <c r="CJ159" s="118"/>
      <c r="CK159" s="155"/>
      <c r="CL159" s="149"/>
      <c r="CM159" s="136"/>
      <c r="CN159" s="136"/>
      <c r="CO159" s="136"/>
      <c r="CP159" s="136"/>
      <c r="CQ159" s="136"/>
      <c r="CR159" s="136"/>
      <c r="CS159" s="136"/>
      <c r="CT159" s="136"/>
      <c r="CU159" s="136"/>
      <c r="CV159" s="136"/>
      <c r="CW159" s="137"/>
      <c r="CX159" s="150"/>
      <c r="CY159" s="136"/>
      <c r="CZ159" s="136"/>
      <c r="DA159" s="136"/>
      <c r="DB159" s="136"/>
      <c r="DC159" s="136"/>
      <c r="DD159" s="136"/>
      <c r="DE159" s="137"/>
      <c r="DF159" s="168"/>
      <c r="DG159" s="136"/>
      <c r="DH159" s="136"/>
      <c r="DI159" s="136"/>
      <c r="DJ159" s="136"/>
      <c r="DK159" s="169"/>
      <c r="DL159" s="62"/>
      <c r="DM159" s="22"/>
    </row>
    <row r="160" spans="1:706" ht="24" customHeight="1" x14ac:dyDescent="0.15">
      <c r="A160" s="67">
        <v>32</v>
      </c>
      <c r="C160" s="22"/>
      <c r="D160" s="61"/>
      <c r="E160" s="180"/>
      <c r="F160" s="157"/>
      <c r="G160" s="157"/>
      <c r="H160" s="157"/>
      <c r="I160" s="157"/>
      <c r="J160" s="158"/>
      <c r="K160" s="177" t="s">
        <v>63</v>
      </c>
      <c r="L160" s="146"/>
      <c r="M160" s="146"/>
      <c r="N160" s="146"/>
      <c r="O160" s="184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  <c r="AB160" s="146"/>
      <c r="AC160" s="146"/>
      <c r="AD160" s="146"/>
      <c r="AE160" s="146"/>
      <c r="AF160" s="146"/>
      <c r="AG160" s="146"/>
      <c r="AH160" s="146"/>
      <c r="AI160" s="146"/>
      <c r="AJ160" s="146"/>
      <c r="AK160" s="146"/>
      <c r="AL160" s="146"/>
      <c r="AM160" s="146"/>
      <c r="AN160" s="146"/>
      <c r="AO160" s="146"/>
      <c r="AP160" s="146"/>
      <c r="AQ160" s="146"/>
      <c r="AR160" s="146"/>
      <c r="AS160" s="146"/>
      <c r="AT160" s="146"/>
      <c r="AU160" s="146"/>
      <c r="AV160" s="146"/>
      <c r="AW160" s="146"/>
      <c r="AX160" s="146"/>
      <c r="AY160" s="146"/>
      <c r="AZ160" s="146"/>
      <c r="BA160" s="146"/>
      <c r="BB160" s="146"/>
      <c r="BC160" s="146"/>
      <c r="BD160" s="147"/>
      <c r="BE160" s="170"/>
      <c r="BF160" s="146"/>
      <c r="BG160" s="146"/>
      <c r="BH160" s="146"/>
      <c r="BI160" s="146"/>
      <c r="BJ160" s="147"/>
      <c r="BK160" s="156"/>
      <c r="BL160" s="157"/>
      <c r="BM160" s="157"/>
      <c r="BN160" s="157"/>
      <c r="BO160" s="157"/>
      <c r="BP160" s="157"/>
      <c r="BQ160" s="157"/>
      <c r="BR160" s="157"/>
      <c r="BS160" s="157"/>
      <c r="BT160" s="157"/>
      <c r="BU160" s="157"/>
      <c r="BV160" s="157"/>
      <c r="BW160" s="157"/>
      <c r="BX160" s="157"/>
      <c r="BY160" s="157"/>
      <c r="BZ160" s="157"/>
      <c r="CA160" s="157"/>
      <c r="CB160" s="157"/>
      <c r="CC160" s="157"/>
      <c r="CD160" s="157"/>
      <c r="CE160" s="157"/>
      <c r="CF160" s="157"/>
      <c r="CG160" s="157"/>
      <c r="CH160" s="157"/>
      <c r="CI160" s="157"/>
      <c r="CJ160" s="157"/>
      <c r="CK160" s="158"/>
      <c r="CL160" s="145"/>
      <c r="CM160" s="146"/>
      <c r="CN160" s="146"/>
      <c r="CO160" s="146"/>
      <c r="CP160" s="146"/>
      <c r="CQ160" s="146"/>
      <c r="CR160" s="146"/>
      <c r="CS160" s="146"/>
      <c r="CT160" s="146"/>
      <c r="CU160" s="146"/>
      <c r="CV160" s="146"/>
      <c r="CW160" s="147"/>
      <c r="CX160" s="148"/>
      <c r="CY160" s="146"/>
      <c r="CZ160" s="146"/>
      <c r="DA160" s="146"/>
      <c r="DB160" s="146"/>
      <c r="DC160" s="146"/>
      <c r="DD160" s="146"/>
      <c r="DE160" s="147"/>
      <c r="DF160" s="170"/>
      <c r="DG160" s="146"/>
      <c r="DH160" s="146"/>
      <c r="DI160" s="146"/>
      <c r="DJ160" s="146"/>
      <c r="DK160" s="171"/>
      <c r="DL160" s="62"/>
      <c r="DM160" s="22"/>
    </row>
    <row r="161" spans="1:117" ht="24" customHeight="1" x14ac:dyDescent="0.15">
      <c r="A161" s="67">
        <v>32</v>
      </c>
      <c r="C161" s="22"/>
      <c r="D161" s="61"/>
      <c r="E161" s="178" t="s">
        <v>64</v>
      </c>
      <c r="F161" s="152"/>
      <c r="G161" s="152"/>
      <c r="H161" s="152"/>
      <c r="I161" s="152"/>
      <c r="J161" s="153"/>
      <c r="K161" s="175" t="s">
        <v>65</v>
      </c>
      <c r="L161" s="160"/>
      <c r="M161" s="160"/>
      <c r="N161" s="160"/>
      <c r="O161" s="185"/>
      <c r="P161" s="160"/>
      <c r="Q161" s="160"/>
      <c r="R161" s="160"/>
      <c r="S161" s="160"/>
      <c r="T161" s="160"/>
      <c r="U161" s="160"/>
      <c r="V161" s="160"/>
      <c r="W161" s="160"/>
      <c r="X161" s="160"/>
      <c r="Y161" s="160"/>
      <c r="Z161" s="160"/>
      <c r="AA161" s="160"/>
      <c r="AB161" s="160"/>
      <c r="AC161" s="160"/>
      <c r="AD161" s="160"/>
      <c r="AE161" s="160"/>
      <c r="AF161" s="160"/>
      <c r="AG161" s="160"/>
      <c r="AH161" s="160"/>
      <c r="AI161" s="160"/>
      <c r="AJ161" s="160"/>
      <c r="AK161" s="160"/>
      <c r="AL161" s="160"/>
      <c r="AM161" s="160"/>
      <c r="AN161" s="160"/>
      <c r="AO161" s="160"/>
      <c r="AP161" s="160"/>
      <c r="AQ161" s="160"/>
      <c r="AR161" s="160"/>
      <c r="AS161" s="160"/>
      <c r="AT161" s="160"/>
      <c r="AU161" s="160"/>
      <c r="AV161" s="160"/>
      <c r="AW161" s="160"/>
      <c r="AX161" s="160"/>
      <c r="AY161" s="160"/>
      <c r="AZ161" s="160"/>
      <c r="BA161" s="160"/>
      <c r="BB161" s="160"/>
      <c r="BC161" s="160"/>
      <c r="BD161" s="161"/>
      <c r="BE161" s="163"/>
      <c r="BF161" s="160"/>
      <c r="BG161" s="160"/>
      <c r="BH161" s="160"/>
      <c r="BI161" s="160"/>
      <c r="BJ161" s="161"/>
      <c r="BK161" s="151"/>
      <c r="BL161" s="152"/>
      <c r="BM161" s="152"/>
      <c r="BN161" s="152"/>
      <c r="BO161" s="152"/>
      <c r="BP161" s="152"/>
      <c r="BQ161" s="152"/>
      <c r="BR161" s="152"/>
      <c r="BS161" s="152"/>
      <c r="BT161" s="152"/>
      <c r="BU161" s="152"/>
      <c r="BV161" s="152"/>
      <c r="BW161" s="152"/>
      <c r="BX161" s="152"/>
      <c r="BY161" s="152"/>
      <c r="BZ161" s="152"/>
      <c r="CA161" s="152"/>
      <c r="CB161" s="152"/>
      <c r="CC161" s="152"/>
      <c r="CD161" s="152"/>
      <c r="CE161" s="152"/>
      <c r="CF161" s="152"/>
      <c r="CG161" s="152"/>
      <c r="CH161" s="152"/>
      <c r="CI161" s="152"/>
      <c r="CJ161" s="152"/>
      <c r="CK161" s="153"/>
      <c r="CL161" s="159"/>
      <c r="CM161" s="160"/>
      <c r="CN161" s="160"/>
      <c r="CO161" s="160"/>
      <c r="CP161" s="160"/>
      <c r="CQ161" s="160"/>
      <c r="CR161" s="160"/>
      <c r="CS161" s="160"/>
      <c r="CT161" s="160"/>
      <c r="CU161" s="160"/>
      <c r="CV161" s="160"/>
      <c r="CW161" s="161"/>
      <c r="CX161" s="162"/>
      <c r="CY161" s="160"/>
      <c r="CZ161" s="160"/>
      <c r="DA161" s="160"/>
      <c r="DB161" s="160"/>
      <c r="DC161" s="160"/>
      <c r="DD161" s="160"/>
      <c r="DE161" s="161"/>
      <c r="DF161" s="163"/>
      <c r="DG161" s="160"/>
      <c r="DH161" s="160"/>
      <c r="DI161" s="160"/>
      <c r="DJ161" s="160"/>
      <c r="DK161" s="164"/>
      <c r="DL161" s="62"/>
      <c r="DM161" s="22"/>
    </row>
    <row r="162" spans="1:117" ht="24" customHeight="1" x14ac:dyDescent="0.15">
      <c r="A162" s="67">
        <v>32</v>
      </c>
      <c r="C162" s="22"/>
      <c r="D162" s="61"/>
      <c r="E162" s="179"/>
      <c r="F162" s="118"/>
      <c r="G162" s="118"/>
      <c r="H162" s="118"/>
      <c r="I162" s="118"/>
      <c r="J162" s="155"/>
      <c r="K162" s="176" t="s">
        <v>66</v>
      </c>
      <c r="L162" s="136"/>
      <c r="M162" s="136"/>
      <c r="N162" s="136"/>
      <c r="O162" s="183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6"/>
      <c r="AH162" s="136"/>
      <c r="AI162" s="136"/>
      <c r="AJ162" s="136"/>
      <c r="AK162" s="136"/>
      <c r="AL162" s="136"/>
      <c r="AM162" s="136"/>
      <c r="AN162" s="136"/>
      <c r="AO162" s="136"/>
      <c r="AP162" s="136"/>
      <c r="AQ162" s="136"/>
      <c r="AR162" s="136"/>
      <c r="AS162" s="136"/>
      <c r="AT162" s="136"/>
      <c r="AU162" s="136"/>
      <c r="AV162" s="136"/>
      <c r="AW162" s="136"/>
      <c r="AX162" s="136"/>
      <c r="AY162" s="136"/>
      <c r="AZ162" s="136"/>
      <c r="BA162" s="136"/>
      <c r="BB162" s="136"/>
      <c r="BC162" s="136"/>
      <c r="BD162" s="137"/>
      <c r="BE162" s="168"/>
      <c r="BF162" s="136"/>
      <c r="BG162" s="136"/>
      <c r="BH162" s="136"/>
      <c r="BI162" s="136"/>
      <c r="BJ162" s="137"/>
      <c r="BK162" s="154"/>
      <c r="BL162" s="118"/>
      <c r="BM162" s="118"/>
      <c r="BN162" s="118"/>
      <c r="BO162" s="118"/>
      <c r="BP162" s="118"/>
      <c r="BQ162" s="118"/>
      <c r="BR162" s="118"/>
      <c r="BS162" s="118"/>
      <c r="BT162" s="118"/>
      <c r="BU162" s="118"/>
      <c r="BV162" s="118"/>
      <c r="BW162" s="118"/>
      <c r="BX162" s="118"/>
      <c r="BY162" s="118"/>
      <c r="BZ162" s="118"/>
      <c r="CA162" s="118"/>
      <c r="CB162" s="118"/>
      <c r="CC162" s="118"/>
      <c r="CD162" s="118"/>
      <c r="CE162" s="118"/>
      <c r="CF162" s="118"/>
      <c r="CG162" s="118"/>
      <c r="CH162" s="118"/>
      <c r="CI162" s="118"/>
      <c r="CJ162" s="118"/>
      <c r="CK162" s="155"/>
      <c r="CL162" s="149"/>
      <c r="CM162" s="136"/>
      <c r="CN162" s="136"/>
      <c r="CO162" s="136"/>
      <c r="CP162" s="136"/>
      <c r="CQ162" s="136"/>
      <c r="CR162" s="136"/>
      <c r="CS162" s="136"/>
      <c r="CT162" s="136"/>
      <c r="CU162" s="136"/>
      <c r="CV162" s="136"/>
      <c r="CW162" s="137"/>
      <c r="CX162" s="150"/>
      <c r="CY162" s="136"/>
      <c r="CZ162" s="136"/>
      <c r="DA162" s="136"/>
      <c r="DB162" s="136"/>
      <c r="DC162" s="136"/>
      <c r="DD162" s="136"/>
      <c r="DE162" s="137"/>
      <c r="DF162" s="168"/>
      <c r="DG162" s="136"/>
      <c r="DH162" s="136"/>
      <c r="DI162" s="136"/>
      <c r="DJ162" s="136"/>
      <c r="DK162" s="169"/>
      <c r="DL162" s="62"/>
      <c r="DM162" s="22"/>
    </row>
    <row r="163" spans="1:117" ht="24" customHeight="1" x14ac:dyDescent="0.15">
      <c r="A163" s="67">
        <v>32</v>
      </c>
      <c r="C163" s="22"/>
      <c r="D163" s="61"/>
      <c r="E163" s="180"/>
      <c r="F163" s="157"/>
      <c r="G163" s="157"/>
      <c r="H163" s="157"/>
      <c r="I163" s="157"/>
      <c r="J163" s="158"/>
      <c r="K163" s="177" t="s">
        <v>67</v>
      </c>
      <c r="L163" s="146"/>
      <c r="M163" s="146"/>
      <c r="N163" s="146"/>
      <c r="O163" s="184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  <c r="AB163" s="146"/>
      <c r="AC163" s="146"/>
      <c r="AD163" s="146"/>
      <c r="AE163" s="146"/>
      <c r="AF163" s="146"/>
      <c r="AG163" s="146"/>
      <c r="AH163" s="146"/>
      <c r="AI163" s="146"/>
      <c r="AJ163" s="146"/>
      <c r="AK163" s="146"/>
      <c r="AL163" s="146"/>
      <c r="AM163" s="146"/>
      <c r="AN163" s="146"/>
      <c r="AO163" s="146"/>
      <c r="AP163" s="146"/>
      <c r="AQ163" s="146"/>
      <c r="AR163" s="146"/>
      <c r="AS163" s="146"/>
      <c r="AT163" s="146"/>
      <c r="AU163" s="146"/>
      <c r="AV163" s="146"/>
      <c r="AW163" s="146"/>
      <c r="AX163" s="146"/>
      <c r="AY163" s="146"/>
      <c r="AZ163" s="146"/>
      <c r="BA163" s="146"/>
      <c r="BB163" s="146"/>
      <c r="BC163" s="146"/>
      <c r="BD163" s="147"/>
      <c r="BE163" s="170"/>
      <c r="BF163" s="146"/>
      <c r="BG163" s="146"/>
      <c r="BH163" s="146"/>
      <c r="BI163" s="146"/>
      <c r="BJ163" s="147"/>
      <c r="BK163" s="156"/>
      <c r="BL163" s="157"/>
      <c r="BM163" s="157"/>
      <c r="BN163" s="157"/>
      <c r="BO163" s="157"/>
      <c r="BP163" s="157"/>
      <c r="BQ163" s="157"/>
      <c r="BR163" s="157"/>
      <c r="BS163" s="157"/>
      <c r="BT163" s="157"/>
      <c r="BU163" s="157"/>
      <c r="BV163" s="157"/>
      <c r="BW163" s="157"/>
      <c r="BX163" s="157"/>
      <c r="BY163" s="157"/>
      <c r="BZ163" s="157"/>
      <c r="CA163" s="157"/>
      <c r="CB163" s="157"/>
      <c r="CC163" s="157"/>
      <c r="CD163" s="157"/>
      <c r="CE163" s="157"/>
      <c r="CF163" s="157"/>
      <c r="CG163" s="157"/>
      <c r="CH163" s="157"/>
      <c r="CI163" s="157"/>
      <c r="CJ163" s="157"/>
      <c r="CK163" s="158"/>
      <c r="CL163" s="145"/>
      <c r="CM163" s="146"/>
      <c r="CN163" s="146"/>
      <c r="CO163" s="146"/>
      <c r="CP163" s="146"/>
      <c r="CQ163" s="146"/>
      <c r="CR163" s="146"/>
      <c r="CS163" s="146"/>
      <c r="CT163" s="146"/>
      <c r="CU163" s="146"/>
      <c r="CV163" s="146"/>
      <c r="CW163" s="147"/>
      <c r="CX163" s="148"/>
      <c r="CY163" s="146"/>
      <c r="CZ163" s="146"/>
      <c r="DA163" s="146"/>
      <c r="DB163" s="146"/>
      <c r="DC163" s="146"/>
      <c r="DD163" s="146"/>
      <c r="DE163" s="147"/>
      <c r="DF163" s="170"/>
      <c r="DG163" s="146"/>
      <c r="DH163" s="146"/>
      <c r="DI163" s="146"/>
      <c r="DJ163" s="146"/>
      <c r="DK163" s="171"/>
      <c r="DL163" s="62"/>
      <c r="DM163" s="22"/>
    </row>
    <row r="164" spans="1:117" ht="24" customHeight="1" x14ac:dyDescent="0.15">
      <c r="A164" s="67">
        <v>32</v>
      </c>
      <c r="C164" s="22"/>
      <c r="D164" s="61"/>
      <c r="E164" s="178" t="s">
        <v>68</v>
      </c>
      <c r="F164" s="152"/>
      <c r="G164" s="152"/>
      <c r="H164" s="152"/>
      <c r="I164" s="152"/>
      <c r="J164" s="153"/>
      <c r="K164" s="175" t="s">
        <v>69</v>
      </c>
      <c r="L164" s="160"/>
      <c r="M164" s="160"/>
      <c r="N164" s="160"/>
      <c r="O164" s="185"/>
      <c r="P164" s="160"/>
      <c r="Q164" s="160"/>
      <c r="R164" s="160"/>
      <c r="S164" s="160"/>
      <c r="T164" s="160"/>
      <c r="U164" s="160"/>
      <c r="V164" s="160"/>
      <c r="W164" s="160"/>
      <c r="X164" s="160"/>
      <c r="Y164" s="160"/>
      <c r="Z164" s="160"/>
      <c r="AA164" s="160"/>
      <c r="AB164" s="160"/>
      <c r="AC164" s="160"/>
      <c r="AD164" s="160"/>
      <c r="AE164" s="160"/>
      <c r="AF164" s="160"/>
      <c r="AG164" s="160"/>
      <c r="AH164" s="160"/>
      <c r="AI164" s="160"/>
      <c r="AJ164" s="160"/>
      <c r="AK164" s="160"/>
      <c r="AL164" s="160"/>
      <c r="AM164" s="160"/>
      <c r="AN164" s="160"/>
      <c r="AO164" s="160"/>
      <c r="AP164" s="160"/>
      <c r="AQ164" s="160"/>
      <c r="AR164" s="160"/>
      <c r="AS164" s="160"/>
      <c r="AT164" s="160"/>
      <c r="AU164" s="160"/>
      <c r="AV164" s="160"/>
      <c r="AW164" s="160"/>
      <c r="AX164" s="160"/>
      <c r="AY164" s="160"/>
      <c r="AZ164" s="160"/>
      <c r="BA164" s="160"/>
      <c r="BB164" s="160"/>
      <c r="BC164" s="160"/>
      <c r="BD164" s="161"/>
      <c r="BE164" s="163"/>
      <c r="BF164" s="160"/>
      <c r="BG164" s="160"/>
      <c r="BH164" s="160"/>
      <c r="BI164" s="160"/>
      <c r="BJ164" s="161"/>
      <c r="BK164" s="151"/>
      <c r="BL164" s="152"/>
      <c r="BM164" s="152"/>
      <c r="BN164" s="152"/>
      <c r="BO164" s="152"/>
      <c r="BP164" s="152"/>
      <c r="BQ164" s="152"/>
      <c r="BR164" s="152"/>
      <c r="BS164" s="152"/>
      <c r="BT164" s="152"/>
      <c r="BU164" s="152"/>
      <c r="BV164" s="152"/>
      <c r="BW164" s="152"/>
      <c r="BX164" s="152"/>
      <c r="BY164" s="152"/>
      <c r="BZ164" s="152"/>
      <c r="CA164" s="152"/>
      <c r="CB164" s="152"/>
      <c r="CC164" s="152"/>
      <c r="CD164" s="152"/>
      <c r="CE164" s="152"/>
      <c r="CF164" s="152"/>
      <c r="CG164" s="152"/>
      <c r="CH164" s="152"/>
      <c r="CI164" s="152"/>
      <c r="CJ164" s="152"/>
      <c r="CK164" s="153"/>
      <c r="CL164" s="159"/>
      <c r="CM164" s="160"/>
      <c r="CN164" s="160"/>
      <c r="CO164" s="160"/>
      <c r="CP164" s="160"/>
      <c r="CQ164" s="160"/>
      <c r="CR164" s="160"/>
      <c r="CS164" s="160"/>
      <c r="CT164" s="160"/>
      <c r="CU164" s="160"/>
      <c r="CV164" s="160"/>
      <c r="CW164" s="161"/>
      <c r="CX164" s="162"/>
      <c r="CY164" s="160"/>
      <c r="CZ164" s="160"/>
      <c r="DA164" s="160"/>
      <c r="DB164" s="160"/>
      <c r="DC164" s="160"/>
      <c r="DD164" s="160"/>
      <c r="DE164" s="161"/>
      <c r="DF164" s="163"/>
      <c r="DG164" s="160"/>
      <c r="DH164" s="160"/>
      <c r="DI164" s="160"/>
      <c r="DJ164" s="160"/>
      <c r="DK164" s="164"/>
      <c r="DL164" s="62"/>
      <c r="DM164" s="22"/>
    </row>
    <row r="165" spans="1:117" ht="24" customHeight="1" x14ac:dyDescent="0.15">
      <c r="A165" s="67">
        <v>32</v>
      </c>
      <c r="C165" s="22"/>
      <c r="D165" s="61"/>
      <c r="E165" s="179"/>
      <c r="F165" s="118"/>
      <c r="G165" s="118"/>
      <c r="H165" s="118"/>
      <c r="I165" s="118"/>
      <c r="J165" s="155"/>
      <c r="K165" s="176" t="s">
        <v>70</v>
      </c>
      <c r="L165" s="136"/>
      <c r="M165" s="136"/>
      <c r="N165" s="136"/>
      <c r="O165" s="183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6"/>
      <c r="AH165" s="136"/>
      <c r="AI165" s="136"/>
      <c r="AJ165" s="136"/>
      <c r="AK165" s="136"/>
      <c r="AL165" s="136"/>
      <c r="AM165" s="136"/>
      <c r="AN165" s="136"/>
      <c r="AO165" s="136"/>
      <c r="AP165" s="136"/>
      <c r="AQ165" s="136"/>
      <c r="AR165" s="136"/>
      <c r="AS165" s="136"/>
      <c r="AT165" s="136"/>
      <c r="AU165" s="136"/>
      <c r="AV165" s="136"/>
      <c r="AW165" s="136"/>
      <c r="AX165" s="136"/>
      <c r="AY165" s="136"/>
      <c r="AZ165" s="136"/>
      <c r="BA165" s="136"/>
      <c r="BB165" s="136"/>
      <c r="BC165" s="136"/>
      <c r="BD165" s="137"/>
      <c r="BE165" s="168"/>
      <c r="BF165" s="136"/>
      <c r="BG165" s="136"/>
      <c r="BH165" s="136"/>
      <c r="BI165" s="136"/>
      <c r="BJ165" s="137"/>
      <c r="BK165" s="154"/>
      <c r="BL165" s="118"/>
      <c r="BM165" s="118"/>
      <c r="BN165" s="118"/>
      <c r="BO165" s="118"/>
      <c r="BP165" s="118"/>
      <c r="BQ165" s="118"/>
      <c r="BR165" s="118"/>
      <c r="BS165" s="118"/>
      <c r="BT165" s="118"/>
      <c r="BU165" s="118"/>
      <c r="BV165" s="118"/>
      <c r="BW165" s="118"/>
      <c r="BX165" s="118"/>
      <c r="BY165" s="118"/>
      <c r="BZ165" s="118"/>
      <c r="CA165" s="118"/>
      <c r="CB165" s="118"/>
      <c r="CC165" s="118"/>
      <c r="CD165" s="118"/>
      <c r="CE165" s="118"/>
      <c r="CF165" s="118"/>
      <c r="CG165" s="118"/>
      <c r="CH165" s="118"/>
      <c r="CI165" s="118"/>
      <c r="CJ165" s="118"/>
      <c r="CK165" s="155"/>
      <c r="CL165" s="149"/>
      <c r="CM165" s="136"/>
      <c r="CN165" s="136"/>
      <c r="CO165" s="136"/>
      <c r="CP165" s="136"/>
      <c r="CQ165" s="136"/>
      <c r="CR165" s="136"/>
      <c r="CS165" s="136"/>
      <c r="CT165" s="136"/>
      <c r="CU165" s="136"/>
      <c r="CV165" s="136"/>
      <c r="CW165" s="137"/>
      <c r="CX165" s="150"/>
      <c r="CY165" s="136"/>
      <c r="CZ165" s="136"/>
      <c r="DA165" s="136"/>
      <c r="DB165" s="136"/>
      <c r="DC165" s="136"/>
      <c r="DD165" s="136"/>
      <c r="DE165" s="137"/>
      <c r="DF165" s="168"/>
      <c r="DG165" s="136"/>
      <c r="DH165" s="136"/>
      <c r="DI165" s="136"/>
      <c r="DJ165" s="136"/>
      <c r="DK165" s="169"/>
      <c r="DL165" s="62"/>
      <c r="DM165" s="22"/>
    </row>
    <row r="166" spans="1:117" ht="24" customHeight="1" x14ac:dyDescent="0.15">
      <c r="A166" s="67">
        <v>32</v>
      </c>
      <c r="C166" s="22"/>
      <c r="D166" s="61"/>
      <c r="E166" s="180"/>
      <c r="F166" s="157"/>
      <c r="G166" s="157"/>
      <c r="H166" s="157"/>
      <c r="I166" s="157"/>
      <c r="J166" s="158"/>
      <c r="K166" s="177" t="s">
        <v>71</v>
      </c>
      <c r="L166" s="146"/>
      <c r="M166" s="146"/>
      <c r="N166" s="146"/>
      <c r="O166" s="184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  <c r="AB166" s="146"/>
      <c r="AC166" s="146"/>
      <c r="AD166" s="146"/>
      <c r="AE166" s="146"/>
      <c r="AF166" s="146"/>
      <c r="AG166" s="146"/>
      <c r="AH166" s="146"/>
      <c r="AI166" s="146"/>
      <c r="AJ166" s="146"/>
      <c r="AK166" s="146"/>
      <c r="AL166" s="146"/>
      <c r="AM166" s="146"/>
      <c r="AN166" s="146"/>
      <c r="AO166" s="146"/>
      <c r="AP166" s="146"/>
      <c r="AQ166" s="146"/>
      <c r="AR166" s="146"/>
      <c r="AS166" s="146"/>
      <c r="AT166" s="146"/>
      <c r="AU166" s="146"/>
      <c r="AV166" s="146"/>
      <c r="AW166" s="146"/>
      <c r="AX166" s="146"/>
      <c r="AY166" s="146"/>
      <c r="AZ166" s="146"/>
      <c r="BA166" s="146"/>
      <c r="BB166" s="146"/>
      <c r="BC166" s="146"/>
      <c r="BD166" s="147"/>
      <c r="BE166" s="170"/>
      <c r="BF166" s="146"/>
      <c r="BG166" s="146"/>
      <c r="BH166" s="146"/>
      <c r="BI166" s="146"/>
      <c r="BJ166" s="147"/>
      <c r="BK166" s="156"/>
      <c r="BL166" s="157"/>
      <c r="BM166" s="157"/>
      <c r="BN166" s="157"/>
      <c r="BO166" s="157"/>
      <c r="BP166" s="157"/>
      <c r="BQ166" s="157"/>
      <c r="BR166" s="157"/>
      <c r="BS166" s="157"/>
      <c r="BT166" s="157"/>
      <c r="BU166" s="157"/>
      <c r="BV166" s="157"/>
      <c r="BW166" s="157"/>
      <c r="BX166" s="157"/>
      <c r="BY166" s="157"/>
      <c r="BZ166" s="157"/>
      <c r="CA166" s="157"/>
      <c r="CB166" s="157"/>
      <c r="CC166" s="157"/>
      <c r="CD166" s="157"/>
      <c r="CE166" s="157"/>
      <c r="CF166" s="157"/>
      <c r="CG166" s="157"/>
      <c r="CH166" s="157"/>
      <c r="CI166" s="157"/>
      <c r="CJ166" s="157"/>
      <c r="CK166" s="158"/>
      <c r="CL166" s="145"/>
      <c r="CM166" s="146"/>
      <c r="CN166" s="146"/>
      <c r="CO166" s="146"/>
      <c r="CP166" s="146"/>
      <c r="CQ166" s="146"/>
      <c r="CR166" s="146"/>
      <c r="CS166" s="146"/>
      <c r="CT166" s="146"/>
      <c r="CU166" s="146"/>
      <c r="CV166" s="146"/>
      <c r="CW166" s="147"/>
      <c r="CX166" s="148"/>
      <c r="CY166" s="146"/>
      <c r="CZ166" s="146"/>
      <c r="DA166" s="146"/>
      <c r="DB166" s="146"/>
      <c r="DC166" s="146"/>
      <c r="DD166" s="146"/>
      <c r="DE166" s="147"/>
      <c r="DF166" s="170"/>
      <c r="DG166" s="146"/>
      <c r="DH166" s="146"/>
      <c r="DI166" s="146"/>
      <c r="DJ166" s="146"/>
      <c r="DK166" s="171"/>
      <c r="DL166" s="62"/>
      <c r="DM166" s="22"/>
    </row>
    <row r="167" spans="1:117" ht="24" customHeight="1" x14ac:dyDescent="0.15">
      <c r="A167" s="67">
        <v>32</v>
      </c>
      <c r="C167" s="22"/>
      <c r="D167" s="61"/>
      <c r="E167" s="178" t="s">
        <v>72</v>
      </c>
      <c r="F167" s="152"/>
      <c r="G167" s="152"/>
      <c r="H167" s="152"/>
      <c r="I167" s="152"/>
      <c r="J167" s="153"/>
      <c r="K167" s="175" t="s">
        <v>73</v>
      </c>
      <c r="L167" s="160"/>
      <c r="M167" s="160"/>
      <c r="N167" s="160"/>
      <c r="O167" s="185"/>
      <c r="P167" s="160"/>
      <c r="Q167" s="160"/>
      <c r="R167" s="160"/>
      <c r="S167" s="160"/>
      <c r="T167" s="160"/>
      <c r="U167" s="160"/>
      <c r="V167" s="160"/>
      <c r="W167" s="160"/>
      <c r="X167" s="160"/>
      <c r="Y167" s="160"/>
      <c r="Z167" s="160"/>
      <c r="AA167" s="160"/>
      <c r="AB167" s="160"/>
      <c r="AC167" s="160"/>
      <c r="AD167" s="160"/>
      <c r="AE167" s="160"/>
      <c r="AF167" s="160"/>
      <c r="AG167" s="160"/>
      <c r="AH167" s="160"/>
      <c r="AI167" s="160"/>
      <c r="AJ167" s="160"/>
      <c r="AK167" s="160"/>
      <c r="AL167" s="160"/>
      <c r="AM167" s="160"/>
      <c r="AN167" s="160"/>
      <c r="AO167" s="160"/>
      <c r="AP167" s="160"/>
      <c r="AQ167" s="160"/>
      <c r="AR167" s="160"/>
      <c r="AS167" s="160"/>
      <c r="AT167" s="160"/>
      <c r="AU167" s="160"/>
      <c r="AV167" s="160"/>
      <c r="AW167" s="160"/>
      <c r="AX167" s="160"/>
      <c r="AY167" s="160"/>
      <c r="AZ167" s="160"/>
      <c r="BA167" s="160"/>
      <c r="BB167" s="160"/>
      <c r="BC167" s="160"/>
      <c r="BD167" s="161"/>
      <c r="BE167" s="163"/>
      <c r="BF167" s="160"/>
      <c r="BG167" s="160"/>
      <c r="BH167" s="160"/>
      <c r="BI167" s="160"/>
      <c r="BJ167" s="161"/>
      <c r="BK167" s="151"/>
      <c r="BL167" s="152"/>
      <c r="BM167" s="152"/>
      <c r="BN167" s="152"/>
      <c r="BO167" s="152"/>
      <c r="BP167" s="152"/>
      <c r="BQ167" s="152"/>
      <c r="BR167" s="152"/>
      <c r="BS167" s="152"/>
      <c r="BT167" s="152"/>
      <c r="BU167" s="152"/>
      <c r="BV167" s="152"/>
      <c r="BW167" s="152"/>
      <c r="BX167" s="152"/>
      <c r="BY167" s="152"/>
      <c r="BZ167" s="152"/>
      <c r="CA167" s="152"/>
      <c r="CB167" s="152"/>
      <c r="CC167" s="152"/>
      <c r="CD167" s="152"/>
      <c r="CE167" s="152"/>
      <c r="CF167" s="152"/>
      <c r="CG167" s="152"/>
      <c r="CH167" s="152"/>
      <c r="CI167" s="152"/>
      <c r="CJ167" s="152"/>
      <c r="CK167" s="153"/>
      <c r="CL167" s="159"/>
      <c r="CM167" s="160"/>
      <c r="CN167" s="160"/>
      <c r="CO167" s="160"/>
      <c r="CP167" s="160"/>
      <c r="CQ167" s="160"/>
      <c r="CR167" s="160"/>
      <c r="CS167" s="160"/>
      <c r="CT167" s="160"/>
      <c r="CU167" s="160"/>
      <c r="CV167" s="160"/>
      <c r="CW167" s="161"/>
      <c r="CX167" s="162"/>
      <c r="CY167" s="160"/>
      <c r="CZ167" s="160"/>
      <c r="DA167" s="160"/>
      <c r="DB167" s="160"/>
      <c r="DC167" s="160"/>
      <c r="DD167" s="160"/>
      <c r="DE167" s="161"/>
      <c r="DF167" s="163"/>
      <c r="DG167" s="160"/>
      <c r="DH167" s="160"/>
      <c r="DI167" s="160"/>
      <c r="DJ167" s="160"/>
      <c r="DK167" s="164"/>
      <c r="DL167" s="62"/>
      <c r="DM167" s="22"/>
    </row>
    <row r="168" spans="1:117" ht="24" customHeight="1" x14ac:dyDescent="0.15">
      <c r="A168" s="67">
        <v>32</v>
      </c>
      <c r="C168" s="22"/>
      <c r="D168" s="61"/>
      <c r="E168" s="179"/>
      <c r="F168" s="118"/>
      <c r="G168" s="118"/>
      <c r="H168" s="118"/>
      <c r="I168" s="118"/>
      <c r="J168" s="155"/>
      <c r="K168" s="176" t="s">
        <v>74</v>
      </c>
      <c r="L168" s="136"/>
      <c r="M168" s="136"/>
      <c r="N168" s="136"/>
      <c r="O168" s="183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6"/>
      <c r="AH168" s="136"/>
      <c r="AI168" s="136"/>
      <c r="AJ168" s="136"/>
      <c r="AK168" s="136"/>
      <c r="AL168" s="136"/>
      <c r="AM168" s="136"/>
      <c r="AN168" s="136"/>
      <c r="AO168" s="136"/>
      <c r="AP168" s="136"/>
      <c r="AQ168" s="136"/>
      <c r="AR168" s="136"/>
      <c r="AS168" s="136"/>
      <c r="AT168" s="136"/>
      <c r="AU168" s="136"/>
      <c r="AV168" s="136"/>
      <c r="AW168" s="136"/>
      <c r="AX168" s="136"/>
      <c r="AY168" s="136"/>
      <c r="AZ168" s="136"/>
      <c r="BA168" s="136"/>
      <c r="BB168" s="136"/>
      <c r="BC168" s="136"/>
      <c r="BD168" s="137"/>
      <c r="BE168" s="168"/>
      <c r="BF168" s="136"/>
      <c r="BG168" s="136"/>
      <c r="BH168" s="136"/>
      <c r="BI168" s="136"/>
      <c r="BJ168" s="137"/>
      <c r="BK168" s="154"/>
      <c r="BL168" s="118"/>
      <c r="BM168" s="118"/>
      <c r="BN168" s="118"/>
      <c r="BO168" s="118"/>
      <c r="BP168" s="118"/>
      <c r="BQ168" s="118"/>
      <c r="BR168" s="118"/>
      <c r="BS168" s="118"/>
      <c r="BT168" s="118"/>
      <c r="BU168" s="118"/>
      <c r="BV168" s="118"/>
      <c r="BW168" s="118"/>
      <c r="BX168" s="118"/>
      <c r="BY168" s="118"/>
      <c r="BZ168" s="118"/>
      <c r="CA168" s="118"/>
      <c r="CB168" s="118"/>
      <c r="CC168" s="118"/>
      <c r="CD168" s="118"/>
      <c r="CE168" s="118"/>
      <c r="CF168" s="118"/>
      <c r="CG168" s="118"/>
      <c r="CH168" s="118"/>
      <c r="CI168" s="118"/>
      <c r="CJ168" s="118"/>
      <c r="CK168" s="155"/>
      <c r="CL168" s="149"/>
      <c r="CM168" s="136"/>
      <c r="CN168" s="136"/>
      <c r="CO168" s="136"/>
      <c r="CP168" s="136"/>
      <c r="CQ168" s="136"/>
      <c r="CR168" s="136"/>
      <c r="CS168" s="136"/>
      <c r="CT168" s="136"/>
      <c r="CU168" s="136"/>
      <c r="CV168" s="136"/>
      <c r="CW168" s="137"/>
      <c r="CX168" s="150"/>
      <c r="CY168" s="136"/>
      <c r="CZ168" s="136"/>
      <c r="DA168" s="136"/>
      <c r="DB168" s="136"/>
      <c r="DC168" s="136"/>
      <c r="DD168" s="136"/>
      <c r="DE168" s="137"/>
      <c r="DF168" s="168"/>
      <c r="DG168" s="136"/>
      <c r="DH168" s="136"/>
      <c r="DI168" s="136"/>
      <c r="DJ168" s="136"/>
      <c r="DK168" s="169"/>
      <c r="DL168" s="62"/>
      <c r="DM168" s="22"/>
    </row>
    <row r="169" spans="1:117" ht="24" customHeight="1" x14ac:dyDescent="0.15">
      <c r="A169" s="67">
        <v>32</v>
      </c>
      <c r="C169" s="22"/>
      <c r="D169" s="61"/>
      <c r="E169" s="180"/>
      <c r="F169" s="157"/>
      <c r="G169" s="157"/>
      <c r="H169" s="157"/>
      <c r="I169" s="157"/>
      <c r="J169" s="158"/>
      <c r="K169" s="177" t="s">
        <v>75</v>
      </c>
      <c r="L169" s="146"/>
      <c r="M169" s="146"/>
      <c r="N169" s="146"/>
      <c r="O169" s="184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  <c r="AB169" s="146"/>
      <c r="AC169" s="146"/>
      <c r="AD169" s="146"/>
      <c r="AE169" s="146"/>
      <c r="AF169" s="146"/>
      <c r="AG169" s="146"/>
      <c r="AH169" s="146"/>
      <c r="AI169" s="146"/>
      <c r="AJ169" s="146"/>
      <c r="AK169" s="146"/>
      <c r="AL169" s="146"/>
      <c r="AM169" s="146"/>
      <c r="AN169" s="146"/>
      <c r="AO169" s="146"/>
      <c r="AP169" s="146"/>
      <c r="AQ169" s="146"/>
      <c r="AR169" s="146"/>
      <c r="AS169" s="146"/>
      <c r="AT169" s="146"/>
      <c r="AU169" s="146"/>
      <c r="AV169" s="146"/>
      <c r="AW169" s="146"/>
      <c r="AX169" s="146"/>
      <c r="AY169" s="146"/>
      <c r="AZ169" s="146"/>
      <c r="BA169" s="146"/>
      <c r="BB169" s="146"/>
      <c r="BC169" s="146"/>
      <c r="BD169" s="147"/>
      <c r="BE169" s="170"/>
      <c r="BF169" s="146"/>
      <c r="BG169" s="146"/>
      <c r="BH169" s="146"/>
      <c r="BI169" s="146"/>
      <c r="BJ169" s="147"/>
      <c r="BK169" s="156"/>
      <c r="BL169" s="157"/>
      <c r="BM169" s="157"/>
      <c r="BN169" s="157"/>
      <c r="BO169" s="157"/>
      <c r="BP169" s="157"/>
      <c r="BQ169" s="157"/>
      <c r="BR169" s="157"/>
      <c r="BS169" s="157"/>
      <c r="BT169" s="157"/>
      <c r="BU169" s="157"/>
      <c r="BV169" s="157"/>
      <c r="BW169" s="157"/>
      <c r="BX169" s="157"/>
      <c r="BY169" s="157"/>
      <c r="BZ169" s="157"/>
      <c r="CA169" s="157"/>
      <c r="CB169" s="157"/>
      <c r="CC169" s="157"/>
      <c r="CD169" s="157"/>
      <c r="CE169" s="157"/>
      <c r="CF169" s="157"/>
      <c r="CG169" s="157"/>
      <c r="CH169" s="157"/>
      <c r="CI169" s="157"/>
      <c r="CJ169" s="157"/>
      <c r="CK169" s="158"/>
      <c r="CL169" s="145"/>
      <c r="CM169" s="146"/>
      <c r="CN169" s="146"/>
      <c r="CO169" s="146"/>
      <c r="CP169" s="146"/>
      <c r="CQ169" s="146"/>
      <c r="CR169" s="146"/>
      <c r="CS169" s="146"/>
      <c r="CT169" s="146"/>
      <c r="CU169" s="146"/>
      <c r="CV169" s="146"/>
      <c r="CW169" s="147"/>
      <c r="CX169" s="148"/>
      <c r="CY169" s="146"/>
      <c r="CZ169" s="146"/>
      <c r="DA169" s="146"/>
      <c r="DB169" s="146"/>
      <c r="DC169" s="146"/>
      <c r="DD169" s="146"/>
      <c r="DE169" s="147"/>
      <c r="DF169" s="170"/>
      <c r="DG169" s="146"/>
      <c r="DH169" s="146"/>
      <c r="DI169" s="146"/>
      <c r="DJ169" s="146"/>
      <c r="DK169" s="171"/>
      <c r="DL169" s="62"/>
      <c r="DM169" s="22"/>
    </row>
    <row r="170" spans="1:117" ht="24" customHeight="1" x14ac:dyDescent="0.15">
      <c r="A170" s="67">
        <v>32</v>
      </c>
      <c r="C170" s="22"/>
      <c r="D170" s="61"/>
      <c r="E170" s="178" t="s">
        <v>76</v>
      </c>
      <c r="F170" s="152"/>
      <c r="G170" s="152"/>
      <c r="H170" s="152"/>
      <c r="I170" s="152"/>
      <c r="J170" s="153"/>
      <c r="K170" s="175" t="s">
        <v>77</v>
      </c>
      <c r="L170" s="160"/>
      <c r="M170" s="160"/>
      <c r="N170" s="160"/>
      <c r="O170" s="185"/>
      <c r="P170" s="160"/>
      <c r="Q170" s="160"/>
      <c r="R170" s="160"/>
      <c r="S170" s="160"/>
      <c r="T170" s="160"/>
      <c r="U170" s="160"/>
      <c r="V170" s="160"/>
      <c r="W170" s="160"/>
      <c r="X170" s="160"/>
      <c r="Y170" s="160"/>
      <c r="Z170" s="160"/>
      <c r="AA170" s="160"/>
      <c r="AB170" s="160"/>
      <c r="AC170" s="160"/>
      <c r="AD170" s="160"/>
      <c r="AE170" s="160"/>
      <c r="AF170" s="160"/>
      <c r="AG170" s="160"/>
      <c r="AH170" s="160"/>
      <c r="AI170" s="160"/>
      <c r="AJ170" s="160"/>
      <c r="AK170" s="160"/>
      <c r="AL170" s="160"/>
      <c r="AM170" s="160"/>
      <c r="AN170" s="160"/>
      <c r="AO170" s="160"/>
      <c r="AP170" s="160"/>
      <c r="AQ170" s="160"/>
      <c r="AR170" s="160"/>
      <c r="AS170" s="160"/>
      <c r="AT170" s="160"/>
      <c r="AU170" s="160"/>
      <c r="AV170" s="160"/>
      <c r="AW170" s="160"/>
      <c r="AX170" s="160"/>
      <c r="AY170" s="160"/>
      <c r="AZ170" s="160"/>
      <c r="BA170" s="160"/>
      <c r="BB170" s="160"/>
      <c r="BC170" s="160"/>
      <c r="BD170" s="161"/>
      <c r="BE170" s="163"/>
      <c r="BF170" s="160"/>
      <c r="BG170" s="160"/>
      <c r="BH170" s="160"/>
      <c r="BI170" s="160"/>
      <c r="BJ170" s="161"/>
      <c r="BK170" s="151"/>
      <c r="BL170" s="152"/>
      <c r="BM170" s="152"/>
      <c r="BN170" s="152"/>
      <c r="BO170" s="152"/>
      <c r="BP170" s="152"/>
      <c r="BQ170" s="152"/>
      <c r="BR170" s="152"/>
      <c r="BS170" s="152"/>
      <c r="BT170" s="152"/>
      <c r="BU170" s="152"/>
      <c r="BV170" s="152"/>
      <c r="BW170" s="152"/>
      <c r="BX170" s="152"/>
      <c r="BY170" s="152"/>
      <c r="BZ170" s="152"/>
      <c r="CA170" s="152"/>
      <c r="CB170" s="152"/>
      <c r="CC170" s="152"/>
      <c r="CD170" s="152"/>
      <c r="CE170" s="152"/>
      <c r="CF170" s="152"/>
      <c r="CG170" s="152"/>
      <c r="CH170" s="152"/>
      <c r="CI170" s="152"/>
      <c r="CJ170" s="152"/>
      <c r="CK170" s="153"/>
      <c r="CL170" s="159"/>
      <c r="CM170" s="160"/>
      <c r="CN170" s="160"/>
      <c r="CO170" s="160"/>
      <c r="CP170" s="160"/>
      <c r="CQ170" s="160"/>
      <c r="CR170" s="160"/>
      <c r="CS170" s="160"/>
      <c r="CT170" s="160"/>
      <c r="CU170" s="160"/>
      <c r="CV170" s="160"/>
      <c r="CW170" s="161"/>
      <c r="CX170" s="162"/>
      <c r="CY170" s="160"/>
      <c r="CZ170" s="160"/>
      <c r="DA170" s="160"/>
      <c r="DB170" s="160"/>
      <c r="DC170" s="160"/>
      <c r="DD170" s="160"/>
      <c r="DE170" s="161"/>
      <c r="DF170" s="163"/>
      <c r="DG170" s="160"/>
      <c r="DH170" s="160"/>
      <c r="DI170" s="160"/>
      <c r="DJ170" s="160"/>
      <c r="DK170" s="164"/>
      <c r="DL170" s="62"/>
      <c r="DM170" s="22"/>
    </row>
    <row r="171" spans="1:117" ht="24" customHeight="1" x14ac:dyDescent="0.15">
      <c r="A171" s="67">
        <v>32</v>
      </c>
      <c r="C171" s="22"/>
      <c r="D171" s="61"/>
      <c r="E171" s="179"/>
      <c r="F171" s="118"/>
      <c r="G171" s="118"/>
      <c r="H171" s="118"/>
      <c r="I171" s="118"/>
      <c r="J171" s="155"/>
      <c r="K171" s="176" t="s">
        <v>78</v>
      </c>
      <c r="L171" s="136"/>
      <c r="M171" s="136"/>
      <c r="N171" s="136"/>
      <c r="O171" s="183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6"/>
      <c r="AH171" s="136"/>
      <c r="AI171" s="136"/>
      <c r="AJ171" s="136"/>
      <c r="AK171" s="136"/>
      <c r="AL171" s="136"/>
      <c r="AM171" s="136"/>
      <c r="AN171" s="136"/>
      <c r="AO171" s="136"/>
      <c r="AP171" s="136"/>
      <c r="AQ171" s="136"/>
      <c r="AR171" s="136"/>
      <c r="AS171" s="136"/>
      <c r="AT171" s="136"/>
      <c r="AU171" s="136"/>
      <c r="AV171" s="136"/>
      <c r="AW171" s="136"/>
      <c r="AX171" s="136"/>
      <c r="AY171" s="136"/>
      <c r="AZ171" s="136"/>
      <c r="BA171" s="136"/>
      <c r="BB171" s="136"/>
      <c r="BC171" s="136"/>
      <c r="BD171" s="137"/>
      <c r="BE171" s="168"/>
      <c r="BF171" s="136"/>
      <c r="BG171" s="136"/>
      <c r="BH171" s="136"/>
      <c r="BI171" s="136"/>
      <c r="BJ171" s="137"/>
      <c r="BK171" s="154"/>
      <c r="BL171" s="118"/>
      <c r="BM171" s="118"/>
      <c r="BN171" s="118"/>
      <c r="BO171" s="118"/>
      <c r="BP171" s="118"/>
      <c r="BQ171" s="118"/>
      <c r="BR171" s="118"/>
      <c r="BS171" s="118"/>
      <c r="BT171" s="118"/>
      <c r="BU171" s="118"/>
      <c r="BV171" s="118"/>
      <c r="BW171" s="118"/>
      <c r="BX171" s="118"/>
      <c r="BY171" s="118"/>
      <c r="BZ171" s="118"/>
      <c r="CA171" s="118"/>
      <c r="CB171" s="118"/>
      <c r="CC171" s="118"/>
      <c r="CD171" s="118"/>
      <c r="CE171" s="118"/>
      <c r="CF171" s="118"/>
      <c r="CG171" s="118"/>
      <c r="CH171" s="118"/>
      <c r="CI171" s="118"/>
      <c r="CJ171" s="118"/>
      <c r="CK171" s="155"/>
      <c r="CL171" s="149"/>
      <c r="CM171" s="136"/>
      <c r="CN171" s="136"/>
      <c r="CO171" s="136"/>
      <c r="CP171" s="136"/>
      <c r="CQ171" s="136"/>
      <c r="CR171" s="136"/>
      <c r="CS171" s="136"/>
      <c r="CT171" s="136"/>
      <c r="CU171" s="136"/>
      <c r="CV171" s="136"/>
      <c r="CW171" s="137"/>
      <c r="CX171" s="150"/>
      <c r="CY171" s="136"/>
      <c r="CZ171" s="136"/>
      <c r="DA171" s="136"/>
      <c r="DB171" s="136"/>
      <c r="DC171" s="136"/>
      <c r="DD171" s="136"/>
      <c r="DE171" s="137"/>
      <c r="DF171" s="168"/>
      <c r="DG171" s="136"/>
      <c r="DH171" s="136"/>
      <c r="DI171" s="136"/>
      <c r="DJ171" s="136"/>
      <c r="DK171" s="169"/>
      <c r="DL171" s="62"/>
      <c r="DM171" s="22"/>
    </row>
    <row r="172" spans="1:117" ht="24" customHeight="1" x14ac:dyDescent="0.15">
      <c r="A172" s="67">
        <v>32</v>
      </c>
      <c r="C172" s="22"/>
      <c r="D172" s="61"/>
      <c r="E172" s="180"/>
      <c r="F172" s="157"/>
      <c r="G172" s="157"/>
      <c r="H172" s="157"/>
      <c r="I172" s="157"/>
      <c r="J172" s="158"/>
      <c r="K172" s="177" t="s">
        <v>79</v>
      </c>
      <c r="L172" s="146"/>
      <c r="M172" s="146"/>
      <c r="N172" s="146"/>
      <c r="O172" s="184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  <c r="AB172" s="146"/>
      <c r="AC172" s="146"/>
      <c r="AD172" s="146"/>
      <c r="AE172" s="146"/>
      <c r="AF172" s="146"/>
      <c r="AG172" s="146"/>
      <c r="AH172" s="146"/>
      <c r="AI172" s="146"/>
      <c r="AJ172" s="146"/>
      <c r="AK172" s="146"/>
      <c r="AL172" s="146"/>
      <c r="AM172" s="146"/>
      <c r="AN172" s="146"/>
      <c r="AO172" s="146"/>
      <c r="AP172" s="146"/>
      <c r="AQ172" s="146"/>
      <c r="AR172" s="146"/>
      <c r="AS172" s="146"/>
      <c r="AT172" s="146"/>
      <c r="AU172" s="146"/>
      <c r="AV172" s="146"/>
      <c r="AW172" s="146"/>
      <c r="AX172" s="146"/>
      <c r="AY172" s="146"/>
      <c r="AZ172" s="146"/>
      <c r="BA172" s="146"/>
      <c r="BB172" s="146"/>
      <c r="BC172" s="146"/>
      <c r="BD172" s="147"/>
      <c r="BE172" s="170"/>
      <c r="BF172" s="146"/>
      <c r="BG172" s="146"/>
      <c r="BH172" s="146"/>
      <c r="BI172" s="146"/>
      <c r="BJ172" s="147"/>
      <c r="BK172" s="156"/>
      <c r="BL172" s="157"/>
      <c r="BM172" s="157"/>
      <c r="BN172" s="157"/>
      <c r="BO172" s="157"/>
      <c r="BP172" s="157"/>
      <c r="BQ172" s="157"/>
      <c r="BR172" s="157"/>
      <c r="BS172" s="157"/>
      <c r="BT172" s="157"/>
      <c r="BU172" s="157"/>
      <c r="BV172" s="157"/>
      <c r="BW172" s="157"/>
      <c r="BX172" s="157"/>
      <c r="BY172" s="157"/>
      <c r="BZ172" s="157"/>
      <c r="CA172" s="157"/>
      <c r="CB172" s="157"/>
      <c r="CC172" s="157"/>
      <c r="CD172" s="157"/>
      <c r="CE172" s="157"/>
      <c r="CF172" s="157"/>
      <c r="CG172" s="157"/>
      <c r="CH172" s="157"/>
      <c r="CI172" s="157"/>
      <c r="CJ172" s="157"/>
      <c r="CK172" s="158"/>
      <c r="CL172" s="145"/>
      <c r="CM172" s="146"/>
      <c r="CN172" s="146"/>
      <c r="CO172" s="146"/>
      <c r="CP172" s="146"/>
      <c r="CQ172" s="146"/>
      <c r="CR172" s="146"/>
      <c r="CS172" s="146"/>
      <c r="CT172" s="146"/>
      <c r="CU172" s="146"/>
      <c r="CV172" s="146"/>
      <c r="CW172" s="147"/>
      <c r="CX172" s="148"/>
      <c r="CY172" s="146"/>
      <c r="CZ172" s="146"/>
      <c r="DA172" s="146"/>
      <c r="DB172" s="146"/>
      <c r="DC172" s="146"/>
      <c r="DD172" s="146"/>
      <c r="DE172" s="147"/>
      <c r="DF172" s="170"/>
      <c r="DG172" s="146"/>
      <c r="DH172" s="146"/>
      <c r="DI172" s="146"/>
      <c r="DJ172" s="146"/>
      <c r="DK172" s="171"/>
      <c r="DL172" s="62"/>
      <c r="DM172" s="22"/>
    </row>
    <row r="173" spans="1:117" ht="24" customHeight="1" x14ac:dyDescent="0.15">
      <c r="A173" s="67">
        <v>32</v>
      </c>
      <c r="C173" s="22"/>
      <c r="D173" s="61"/>
      <c r="E173" s="178" t="s">
        <v>80</v>
      </c>
      <c r="F173" s="152"/>
      <c r="G173" s="152"/>
      <c r="H173" s="152"/>
      <c r="I173" s="152"/>
      <c r="J173" s="153"/>
      <c r="K173" s="175" t="s">
        <v>81</v>
      </c>
      <c r="L173" s="160"/>
      <c r="M173" s="160"/>
      <c r="N173" s="160"/>
      <c r="O173" s="185"/>
      <c r="P173" s="160"/>
      <c r="Q173" s="160"/>
      <c r="R173" s="160"/>
      <c r="S173" s="160"/>
      <c r="T173" s="160"/>
      <c r="U173" s="160"/>
      <c r="V173" s="160"/>
      <c r="W173" s="160"/>
      <c r="X173" s="160"/>
      <c r="Y173" s="160"/>
      <c r="Z173" s="160"/>
      <c r="AA173" s="160"/>
      <c r="AB173" s="160"/>
      <c r="AC173" s="160"/>
      <c r="AD173" s="160"/>
      <c r="AE173" s="160"/>
      <c r="AF173" s="160"/>
      <c r="AG173" s="160"/>
      <c r="AH173" s="160"/>
      <c r="AI173" s="160"/>
      <c r="AJ173" s="160"/>
      <c r="AK173" s="160"/>
      <c r="AL173" s="160"/>
      <c r="AM173" s="160"/>
      <c r="AN173" s="160"/>
      <c r="AO173" s="160"/>
      <c r="AP173" s="160"/>
      <c r="AQ173" s="160"/>
      <c r="AR173" s="160"/>
      <c r="AS173" s="160"/>
      <c r="AT173" s="160"/>
      <c r="AU173" s="160"/>
      <c r="AV173" s="160"/>
      <c r="AW173" s="160"/>
      <c r="AX173" s="160"/>
      <c r="AY173" s="160"/>
      <c r="AZ173" s="160"/>
      <c r="BA173" s="160"/>
      <c r="BB173" s="160"/>
      <c r="BC173" s="160"/>
      <c r="BD173" s="161"/>
      <c r="BE173" s="163"/>
      <c r="BF173" s="160"/>
      <c r="BG173" s="160"/>
      <c r="BH173" s="160"/>
      <c r="BI173" s="160"/>
      <c r="BJ173" s="161"/>
      <c r="BK173" s="151"/>
      <c r="BL173" s="152"/>
      <c r="BM173" s="152"/>
      <c r="BN173" s="152"/>
      <c r="BO173" s="152"/>
      <c r="BP173" s="152"/>
      <c r="BQ173" s="152"/>
      <c r="BR173" s="152"/>
      <c r="BS173" s="152"/>
      <c r="BT173" s="152"/>
      <c r="BU173" s="152"/>
      <c r="BV173" s="152"/>
      <c r="BW173" s="152"/>
      <c r="BX173" s="152"/>
      <c r="BY173" s="152"/>
      <c r="BZ173" s="152"/>
      <c r="CA173" s="152"/>
      <c r="CB173" s="152"/>
      <c r="CC173" s="152"/>
      <c r="CD173" s="152"/>
      <c r="CE173" s="152"/>
      <c r="CF173" s="152"/>
      <c r="CG173" s="152"/>
      <c r="CH173" s="152"/>
      <c r="CI173" s="152"/>
      <c r="CJ173" s="152"/>
      <c r="CK173" s="153"/>
      <c r="CL173" s="159"/>
      <c r="CM173" s="160"/>
      <c r="CN173" s="160"/>
      <c r="CO173" s="160"/>
      <c r="CP173" s="160"/>
      <c r="CQ173" s="160"/>
      <c r="CR173" s="160"/>
      <c r="CS173" s="160"/>
      <c r="CT173" s="160"/>
      <c r="CU173" s="160"/>
      <c r="CV173" s="160"/>
      <c r="CW173" s="161"/>
      <c r="CX173" s="162"/>
      <c r="CY173" s="160"/>
      <c r="CZ173" s="160"/>
      <c r="DA173" s="160"/>
      <c r="DB173" s="160"/>
      <c r="DC173" s="160"/>
      <c r="DD173" s="160"/>
      <c r="DE173" s="161"/>
      <c r="DF173" s="163"/>
      <c r="DG173" s="160"/>
      <c r="DH173" s="160"/>
      <c r="DI173" s="160"/>
      <c r="DJ173" s="160"/>
      <c r="DK173" s="164"/>
      <c r="DL173" s="62"/>
      <c r="DM173" s="22"/>
    </row>
    <row r="174" spans="1:117" ht="24" customHeight="1" x14ac:dyDescent="0.15">
      <c r="A174" s="67">
        <v>32</v>
      </c>
      <c r="C174" s="22"/>
      <c r="D174" s="61"/>
      <c r="E174" s="179"/>
      <c r="F174" s="118"/>
      <c r="G174" s="118"/>
      <c r="H174" s="118"/>
      <c r="I174" s="118"/>
      <c r="J174" s="155"/>
      <c r="K174" s="176" t="s">
        <v>82</v>
      </c>
      <c r="L174" s="136"/>
      <c r="M174" s="136"/>
      <c r="N174" s="136"/>
      <c r="O174" s="183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6"/>
      <c r="AH174" s="136"/>
      <c r="AI174" s="136"/>
      <c r="AJ174" s="136"/>
      <c r="AK174" s="136"/>
      <c r="AL174" s="136"/>
      <c r="AM174" s="136"/>
      <c r="AN174" s="136"/>
      <c r="AO174" s="136"/>
      <c r="AP174" s="136"/>
      <c r="AQ174" s="136"/>
      <c r="AR174" s="136"/>
      <c r="AS174" s="136"/>
      <c r="AT174" s="136"/>
      <c r="AU174" s="136"/>
      <c r="AV174" s="136"/>
      <c r="AW174" s="136"/>
      <c r="AX174" s="136"/>
      <c r="AY174" s="136"/>
      <c r="AZ174" s="136"/>
      <c r="BA174" s="136"/>
      <c r="BB174" s="136"/>
      <c r="BC174" s="136"/>
      <c r="BD174" s="137"/>
      <c r="BE174" s="168"/>
      <c r="BF174" s="136"/>
      <c r="BG174" s="136"/>
      <c r="BH174" s="136"/>
      <c r="BI174" s="136"/>
      <c r="BJ174" s="137"/>
      <c r="BK174" s="154"/>
      <c r="BL174" s="118"/>
      <c r="BM174" s="118"/>
      <c r="BN174" s="118"/>
      <c r="BO174" s="118"/>
      <c r="BP174" s="118"/>
      <c r="BQ174" s="118"/>
      <c r="BR174" s="118"/>
      <c r="BS174" s="118"/>
      <c r="BT174" s="118"/>
      <c r="BU174" s="118"/>
      <c r="BV174" s="118"/>
      <c r="BW174" s="118"/>
      <c r="BX174" s="118"/>
      <c r="BY174" s="118"/>
      <c r="BZ174" s="118"/>
      <c r="CA174" s="118"/>
      <c r="CB174" s="118"/>
      <c r="CC174" s="118"/>
      <c r="CD174" s="118"/>
      <c r="CE174" s="118"/>
      <c r="CF174" s="118"/>
      <c r="CG174" s="118"/>
      <c r="CH174" s="118"/>
      <c r="CI174" s="118"/>
      <c r="CJ174" s="118"/>
      <c r="CK174" s="155"/>
      <c r="CL174" s="149"/>
      <c r="CM174" s="136"/>
      <c r="CN174" s="136"/>
      <c r="CO174" s="136"/>
      <c r="CP174" s="136"/>
      <c r="CQ174" s="136"/>
      <c r="CR174" s="136"/>
      <c r="CS174" s="136"/>
      <c r="CT174" s="136"/>
      <c r="CU174" s="136"/>
      <c r="CV174" s="136"/>
      <c r="CW174" s="137"/>
      <c r="CX174" s="150"/>
      <c r="CY174" s="136"/>
      <c r="CZ174" s="136"/>
      <c r="DA174" s="136"/>
      <c r="DB174" s="136"/>
      <c r="DC174" s="136"/>
      <c r="DD174" s="136"/>
      <c r="DE174" s="137"/>
      <c r="DF174" s="168"/>
      <c r="DG174" s="136"/>
      <c r="DH174" s="136"/>
      <c r="DI174" s="136"/>
      <c r="DJ174" s="136"/>
      <c r="DK174" s="169"/>
      <c r="DL174" s="62"/>
      <c r="DM174" s="22"/>
    </row>
    <row r="175" spans="1:117" ht="24" customHeight="1" x14ac:dyDescent="0.15">
      <c r="A175" s="67">
        <v>32</v>
      </c>
      <c r="C175" s="22"/>
      <c r="D175" s="61"/>
      <c r="E175" s="180"/>
      <c r="F175" s="157"/>
      <c r="G175" s="157"/>
      <c r="H175" s="157"/>
      <c r="I175" s="157"/>
      <c r="J175" s="158"/>
      <c r="K175" s="177" t="s">
        <v>83</v>
      </c>
      <c r="L175" s="146"/>
      <c r="M175" s="146"/>
      <c r="N175" s="146"/>
      <c r="O175" s="184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  <c r="AB175" s="146"/>
      <c r="AC175" s="146"/>
      <c r="AD175" s="146"/>
      <c r="AE175" s="146"/>
      <c r="AF175" s="146"/>
      <c r="AG175" s="146"/>
      <c r="AH175" s="146"/>
      <c r="AI175" s="146"/>
      <c r="AJ175" s="146"/>
      <c r="AK175" s="146"/>
      <c r="AL175" s="146"/>
      <c r="AM175" s="146"/>
      <c r="AN175" s="146"/>
      <c r="AO175" s="146"/>
      <c r="AP175" s="146"/>
      <c r="AQ175" s="146"/>
      <c r="AR175" s="146"/>
      <c r="AS175" s="146"/>
      <c r="AT175" s="146"/>
      <c r="AU175" s="146"/>
      <c r="AV175" s="146"/>
      <c r="AW175" s="146"/>
      <c r="AX175" s="146"/>
      <c r="AY175" s="146"/>
      <c r="AZ175" s="146"/>
      <c r="BA175" s="146"/>
      <c r="BB175" s="146"/>
      <c r="BC175" s="146"/>
      <c r="BD175" s="147"/>
      <c r="BE175" s="170"/>
      <c r="BF175" s="146"/>
      <c r="BG175" s="146"/>
      <c r="BH175" s="146"/>
      <c r="BI175" s="146"/>
      <c r="BJ175" s="147"/>
      <c r="BK175" s="156"/>
      <c r="BL175" s="157"/>
      <c r="BM175" s="157"/>
      <c r="BN175" s="157"/>
      <c r="BO175" s="157"/>
      <c r="BP175" s="157"/>
      <c r="BQ175" s="157"/>
      <c r="BR175" s="157"/>
      <c r="BS175" s="157"/>
      <c r="BT175" s="157"/>
      <c r="BU175" s="157"/>
      <c r="BV175" s="157"/>
      <c r="BW175" s="157"/>
      <c r="BX175" s="157"/>
      <c r="BY175" s="157"/>
      <c r="BZ175" s="157"/>
      <c r="CA175" s="157"/>
      <c r="CB175" s="157"/>
      <c r="CC175" s="157"/>
      <c r="CD175" s="157"/>
      <c r="CE175" s="157"/>
      <c r="CF175" s="157"/>
      <c r="CG175" s="157"/>
      <c r="CH175" s="157"/>
      <c r="CI175" s="157"/>
      <c r="CJ175" s="157"/>
      <c r="CK175" s="158"/>
      <c r="CL175" s="145"/>
      <c r="CM175" s="146"/>
      <c r="CN175" s="146"/>
      <c r="CO175" s="146"/>
      <c r="CP175" s="146"/>
      <c r="CQ175" s="146"/>
      <c r="CR175" s="146"/>
      <c r="CS175" s="146"/>
      <c r="CT175" s="146"/>
      <c r="CU175" s="146"/>
      <c r="CV175" s="146"/>
      <c r="CW175" s="147"/>
      <c r="CX175" s="148"/>
      <c r="CY175" s="146"/>
      <c r="CZ175" s="146"/>
      <c r="DA175" s="146"/>
      <c r="DB175" s="146"/>
      <c r="DC175" s="146"/>
      <c r="DD175" s="146"/>
      <c r="DE175" s="147"/>
      <c r="DF175" s="170"/>
      <c r="DG175" s="146"/>
      <c r="DH175" s="146"/>
      <c r="DI175" s="146"/>
      <c r="DJ175" s="146"/>
      <c r="DK175" s="171"/>
      <c r="DL175" s="62"/>
      <c r="DM175" s="22"/>
    </row>
    <row r="176" spans="1:117" ht="24" customHeight="1" x14ac:dyDescent="0.15">
      <c r="A176" s="67">
        <v>32</v>
      </c>
      <c r="C176" s="22"/>
      <c r="D176" s="61"/>
      <c r="E176" s="178" t="s">
        <v>84</v>
      </c>
      <c r="F176" s="152"/>
      <c r="G176" s="152"/>
      <c r="H176" s="152"/>
      <c r="I176" s="152"/>
      <c r="J176" s="153"/>
      <c r="K176" s="175" t="s">
        <v>85</v>
      </c>
      <c r="L176" s="160"/>
      <c r="M176" s="160"/>
      <c r="N176" s="160"/>
      <c r="O176" s="185"/>
      <c r="P176" s="160"/>
      <c r="Q176" s="160"/>
      <c r="R176" s="160"/>
      <c r="S176" s="160"/>
      <c r="T176" s="160"/>
      <c r="U176" s="160"/>
      <c r="V176" s="160"/>
      <c r="W176" s="160"/>
      <c r="X176" s="160"/>
      <c r="Y176" s="160"/>
      <c r="Z176" s="160"/>
      <c r="AA176" s="160"/>
      <c r="AB176" s="160"/>
      <c r="AC176" s="160"/>
      <c r="AD176" s="160"/>
      <c r="AE176" s="160"/>
      <c r="AF176" s="160"/>
      <c r="AG176" s="160"/>
      <c r="AH176" s="160"/>
      <c r="AI176" s="160"/>
      <c r="AJ176" s="160"/>
      <c r="AK176" s="160"/>
      <c r="AL176" s="160"/>
      <c r="AM176" s="160"/>
      <c r="AN176" s="160"/>
      <c r="AO176" s="160"/>
      <c r="AP176" s="160"/>
      <c r="AQ176" s="160"/>
      <c r="AR176" s="160"/>
      <c r="AS176" s="160"/>
      <c r="AT176" s="160"/>
      <c r="AU176" s="160"/>
      <c r="AV176" s="160"/>
      <c r="AW176" s="160"/>
      <c r="AX176" s="160"/>
      <c r="AY176" s="160"/>
      <c r="AZ176" s="160"/>
      <c r="BA176" s="160"/>
      <c r="BB176" s="160"/>
      <c r="BC176" s="160"/>
      <c r="BD176" s="161"/>
      <c r="BE176" s="163"/>
      <c r="BF176" s="160"/>
      <c r="BG176" s="160"/>
      <c r="BH176" s="160"/>
      <c r="BI176" s="160"/>
      <c r="BJ176" s="161"/>
      <c r="BK176" s="151"/>
      <c r="BL176" s="152"/>
      <c r="BM176" s="152"/>
      <c r="BN176" s="152"/>
      <c r="BO176" s="152"/>
      <c r="BP176" s="152"/>
      <c r="BQ176" s="152"/>
      <c r="BR176" s="152"/>
      <c r="BS176" s="152"/>
      <c r="BT176" s="152"/>
      <c r="BU176" s="152"/>
      <c r="BV176" s="152"/>
      <c r="BW176" s="152"/>
      <c r="BX176" s="152"/>
      <c r="BY176" s="152"/>
      <c r="BZ176" s="152"/>
      <c r="CA176" s="152"/>
      <c r="CB176" s="152"/>
      <c r="CC176" s="152"/>
      <c r="CD176" s="152"/>
      <c r="CE176" s="152"/>
      <c r="CF176" s="152"/>
      <c r="CG176" s="152"/>
      <c r="CH176" s="152"/>
      <c r="CI176" s="152"/>
      <c r="CJ176" s="152"/>
      <c r="CK176" s="153"/>
      <c r="CL176" s="159"/>
      <c r="CM176" s="160"/>
      <c r="CN176" s="160"/>
      <c r="CO176" s="160"/>
      <c r="CP176" s="160"/>
      <c r="CQ176" s="160"/>
      <c r="CR176" s="160"/>
      <c r="CS176" s="160"/>
      <c r="CT176" s="160"/>
      <c r="CU176" s="160"/>
      <c r="CV176" s="160"/>
      <c r="CW176" s="161"/>
      <c r="CX176" s="162"/>
      <c r="CY176" s="160"/>
      <c r="CZ176" s="160"/>
      <c r="DA176" s="160"/>
      <c r="DB176" s="160"/>
      <c r="DC176" s="160"/>
      <c r="DD176" s="160"/>
      <c r="DE176" s="161"/>
      <c r="DF176" s="163"/>
      <c r="DG176" s="160"/>
      <c r="DH176" s="160"/>
      <c r="DI176" s="160"/>
      <c r="DJ176" s="160"/>
      <c r="DK176" s="164"/>
      <c r="DL176" s="62"/>
      <c r="DM176" s="22"/>
    </row>
    <row r="177" spans="1:706" ht="24" customHeight="1" x14ac:dyDescent="0.15">
      <c r="A177" s="67">
        <v>32</v>
      </c>
      <c r="C177" s="22"/>
      <c r="D177" s="61"/>
      <c r="E177" s="179"/>
      <c r="F177" s="118"/>
      <c r="G177" s="118"/>
      <c r="H177" s="118"/>
      <c r="I177" s="118"/>
      <c r="J177" s="155"/>
      <c r="K177" s="176" t="s">
        <v>86</v>
      </c>
      <c r="L177" s="136"/>
      <c r="M177" s="136"/>
      <c r="N177" s="136"/>
      <c r="O177" s="183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6"/>
      <c r="AH177" s="136"/>
      <c r="AI177" s="136"/>
      <c r="AJ177" s="136"/>
      <c r="AK177" s="136"/>
      <c r="AL177" s="136"/>
      <c r="AM177" s="136"/>
      <c r="AN177" s="136"/>
      <c r="AO177" s="136"/>
      <c r="AP177" s="136"/>
      <c r="AQ177" s="136"/>
      <c r="AR177" s="136"/>
      <c r="AS177" s="136"/>
      <c r="AT177" s="136"/>
      <c r="AU177" s="136"/>
      <c r="AV177" s="136"/>
      <c r="AW177" s="136"/>
      <c r="AX177" s="136"/>
      <c r="AY177" s="136"/>
      <c r="AZ177" s="136"/>
      <c r="BA177" s="136"/>
      <c r="BB177" s="136"/>
      <c r="BC177" s="136"/>
      <c r="BD177" s="137"/>
      <c r="BE177" s="168"/>
      <c r="BF177" s="136"/>
      <c r="BG177" s="136"/>
      <c r="BH177" s="136"/>
      <c r="BI177" s="136"/>
      <c r="BJ177" s="137"/>
      <c r="BK177" s="154"/>
      <c r="BL177" s="118"/>
      <c r="BM177" s="118"/>
      <c r="BN177" s="118"/>
      <c r="BO177" s="118"/>
      <c r="BP177" s="118"/>
      <c r="BQ177" s="118"/>
      <c r="BR177" s="118"/>
      <c r="BS177" s="118"/>
      <c r="BT177" s="118"/>
      <c r="BU177" s="118"/>
      <c r="BV177" s="118"/>
      <c r="BW177" s="118"/>
      <c r="BX177" s="118"/>
      <c r="BY177" s="118"/>
      <c r="BZ177" s="118"/>
      <c r="CA177" s="118"/>
      <c r="CB177" s="118"/>
      <c r="CC177" s="118"/>
      <c r="CD177" s="118"/>
      <c r="CE177" s="118"/>
      <c r="CF177" s="118"/>
      <c r="CG177" s="118"/>
      <c r="CH177" s="118"/>
      <c r="CI177" s="118"/>
      <c r="CJ177" s="118"/>
      <c r="CK177" s="155"/>
      <c r="CL177" s="149"/>
      <c r="CM177" s="136"/>
      <c r="CN177" s="136"/>
      <c r="CO177" s="136"/>
      <c r="CP177" s="136"/>
      <c r="CQ177" s="136"/>
      <c r="CR177" s="136"/>
      <c r="CS177" s="136"/>
      <c r="CT177" s="136"/>
      <c r="CU177" s="136"/>
      <c r="CV177" s="136"/>
      <c r="CW177" s="137"/>
      <c r="CX177" s="150"/>
      <c r="CY177" s="136"/>
      <c r="CZ177" s="136"/>
      <c r="DA177" s="136"/>
      <c r="DB177" s="136"/>
      <c r="DC177" s="136"/>
      <c r="DD177" s="136"/>
      <c r="DE177" s="137"/>
      <c r="DF177" s="168"/>
      <c r="DG177" s="136"/>
      <c r="DH177" s="136"/>
      <c r="DI177" s="136"/>
      <c r="DJ177" s="136"/>
      <c r="DK177" s="169"/>
      <c r="DL177" s="62"/>
      <c r="DM177" s="22"/>
    </row>
    <row r="178" spans="1:706" ht="24" customHeight="1" x14ac:dyDescent="0.15">
      <c r="A178" s="67">
        <v>32</v>
      </c>
      <c r="C178" s="22"/>
      <c r="D178" s="61"/>
      <c r="E178" s="180"/>
      <c r="F178" s="157"/>
      <c r="G178" s="157"/>
      <c r="H178" s="157"/>
      <c r="I178" s="157"/>
      <c r="J178" s="158"/>
      <c r="K178" s="177" t="s">
        <v>87</v>
      </c>
      <c r="L178" s="146"/>
      <c r="M178" s="146"/>
      <c r="N178" s="146"/>
      <c r="O178" s="184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  <c r="AB178" s="146"/>
      <c r="AC178" s="146"/>
      <c r="AD178" s="146"/>
      <c r="AE178" s="146"/>
      <c r="AF178" s="146"/>
      <c r="AG178" s="146"/>
      <c r="AH178" s="146"/>
      <c r="AI178" s="146"/>
      <c r="AJ178" s="146"/>
      <c r="AK178" s="146"/>
      <c r="AL178" s="146"/>
      <c r="AM178" s="146"/>
      <c r="AN178" s="146"/>
      <c r="AO178" s="146"/>
      <c r="AP178" s="146"/>
      <c r="AQ178" s="146"/>
      <c r="AR178" s="146"/>
      <c r="AS178" s="146"/>
      <c r="AT178" s="146"/>
      <c r="AU178" s="146"/>
      <c r="AV178" s="146"/>
      <c r="AW178" s="146"/>
      <c r="AX178" s="146"/>
      <c r="AY178" s="146"/>
      <c r="AZ178" s="146"/>
      <c r="BA178" s="146"/>
      <c r="BB178" s="146"/>
      <c r="BC178" s="146"/>
      <c r="BD178" s="147"/>
      <c r="BE178" s="170"/>
      <c r="BF178" s="146"/>
      <c r="BG178" s="146"/>
      <c r="BH178" s="146"/>
      <c r="BI178" s="146"/>
      <c r="BJ178" s="147"/>
      <c r="BK178" s="156"/>
      <c r="BL178" s="157"/>
      <c r="BM178" s="157"/>
      <c r="BN178" s="157"/>
      <c r="BO178" s="157"/>
      <c r="BP178" s="157"/>
      <c r="BQ178" s="157"/>
      <c r="BR178" s="157"/>
      <c r="BS178" s="157"/>
      <c r="BT178" s="157"/>
      <c r="BU178" s="157"/>
      <c r="BV178" s="157"/>
      <c r="BW178" s="157"/>
      <c r="BX178" s="157"/>
      <c r="BY178" s="157"/>
      <c r="BZ178" s="157"/>
      <c r="CA178" s="157"/>
      <c r="CB178" s="157"/>
      <c r="CC178" s="157"/>
      <c r="CD178" s="157"/>
      <c r="CE178" s="157"/>
      <c r="CF178" s="157"/>
      <c r="CG178" s="157"/>
      <c r="CH178" s="157"/>
      <c r="CI178" s="157"/>
      <c r="CJ178" s="157"/>
      <c r="CK178" s="158"/>
      <c r="CL178" s="145"/>
      <c r="CM178" s="146"/>
      <c r="CN178" s="146"/>
      <c r="CO178" s="146"/>
      <c r="CP178" s="146"/>
      <c r="CQ178" s="146"/>
      <c r="CR178" s="146"/>
      <c r="CS178" s="146"/>
      <c r="CT178" s="146"/>
      <c r="CU178" s="146"/>
      <c r="CV178" s="146"/>
      <c r="CW178" s="147"/>
      <c r="CX178" s="148"/>
      <c r="CY178" s="146"/>
      <c r="CZ178" s="146"/>
      <c r="DA178" s="146"/>
      <c r="DB178" s="146"/>
      <c r="DC178" s="146"/>
      <c r="DD178" s="146"/>
      <c r="DE178" s="147"/>
      <c r="DF178" s="170"/>
      <c r="DG178" s="146"/>
      <c r="DH178" s="146"/>
      <c r="DI178" s="146"/>
      <c r="DJ178" s="146"/>
      <c r="DK178" s="171"/>
      <c r="DL178" s="62"/>
      <c r="DM178" s="22"/>
    </row>
    <row r="179" spans="1:706" ht="24" customHeight="1" x14ac:dyDescent="0.15">
      <c r="A179" s="67">
        <v>32</v>
      </c>
      <c r="C179" s="22"/>
      <c r="D179" s="61"/>
      <c r="E179" s="178" t="s">
        <v>88</v>
      </c>
      <c r="F179" s="152"/>
      <c r="G179" s="152"/>
      <c r="H179" s="152"/>
      <c r="I179" s="152"/>
      <c r="J179" s="153"/>
      <c r="K179" s="175" t="s">
        <v>89</v>
      </c>
      <c r="L179" s="160"/>
      <c r="M179" s="160"/>
      <c r="N179" s="160"/>
      <c r="O179" s="185"/>
      <c r="P179" s="160"/>
      <c r="Q179" s="160"/>
      <c r="R179" s="160"/>
      <c r="S179" s="160"/>
      <c r="T179" s="160"/>
      <c r="U179" s="160"/>
      <c r="V179" s="160"/>
      <c r="W179" s="160"/>
      <c r="X179" s="160"/>
      <c r="Y179" s="160"/>
      <c r="Z179" s="160"/>
      <c r="AA179" s="160"/>
      <c r="AB179" s="160"/>
      <c r="AC179" s="160"/>
      <c r="AD179" s="160"/>
      <c r="AE179" s="160"/>
      <c r="AF179" s="160"/>
      <c r="AG179" s="160"/>
      <c r="AH179" s="160"/>
      <c r="AI179" s="160"/>
      <c r="AJ179" s="160"/>
      <c r="AK179" s="160"/>
      <c r="AL179" s="160"/>
      <c r="AM179" s="160"/>
      <c r="AN179" s="160"/>
      <c r="AO179" s="160"/>
      <c r="AP179" s="160"/>
      <c r="AQ179" s="160"/>
      <c r="AR179" s="160"/>
      <c r="AS179" s="160"/>
      <c r="AT179" s="160"/>
      <c r="AU179" s="160"/>
      <c r="AV179" s="160"/>
      <c r="AW179" s="160"/>
      <c r="AX179" s="160"/>
      <c r="AY179" s="160"/>
      <c r="AZ179" s="160"/>
      <c r="BA179" s="160"/>
      <c r="BB179" s="160"/>
      <c r="BC179" s="160"/>
      <c r="BD179" s="161"/>
      <c r="BE179" s="163"/>
      <c r="BF179" s="160"/>
      <c r="BG179" s="160"/>
      <c r="BH179" s="160"/>
      <c r="BI179" s="160"/>
      <c r="BJ179" s="161"/>
      <c r="BK179" s="151"/>
      <c r="BL179" s="152"/>
      <c r="BM179" s="152"/>
      <c r="BN179" s="152"/>
      <c r="BO179" s="152"/>
      <c r="BP179" s="152"/>
      <c r="BQ179" s="152"/>
      <c r="BR179" s="152"/>
      <c r="BS179" s="152"/>
      <c r="BT179" s="152"/>
      <c r="BU179" s="152"/>
      <c r="BV179" s="152"/>
      <c r="BW179" s="152"/>
      <c r="BX179" s="152"/>
      <c r="BY179" s="152"/>
      <c r="BZ179" s="152"/>
      <c r="CA179" s="152"/>
      <c r="CB179" s="152"/>
      <c r="CC179" s="152"/>
      <c r="CD179" s="152"/>
      <c r="CE179" s="152"/>
      <c r="CF179" s="152"/>
      <c r="CG179" s="152"/>
      <c r="CH179" s="152"/>
      <c r="CI179" s="152"/>
      <c r="CJ179" s="152"/>
      <c r="CK179" s="153"/>
      <c r="CL179" s="159"/>
      <c r="CM179" s="160"/>
      <c r="CN179" s="160"/>
      <c r="CO179" s="160"/>
      <c r="CP179" s="160"/>
      <c r="CQ179" s="160"/>
      <c r="CR179" s="160"/>
      <c r="CS179" s="160"/>
      <c r="CT179" s="160"/>
      <c r="CU179" s="160"/>
      <c r="CV179" s="160"/>
      <c r="CW179" s="161"/>
      <c r="CX179" s="162"/>
      <c r="CY179" s="160"/>
      <c r="CZ179" s="160"/>
      <c r="DA179" s="160"/>
      <c r="DB179" s="160"/>
      <c r="DC179" s="160"/>
      <c r="DD179" s="160"/>
      <c r="DE179" s="161"/>
      <c r="DF179" s="163"/>
      <c r="DG179" s="160"/>
      <c r="DH179" s="160"/>
      <c r="DI179" s="160"/>
      <c r="DJ179" s="160"/>
      <c r="DK179" s="164"/>
      <c r="DL179" s="62"/>
      <c r="DM179" s="22"/>
    </row>
    <row r="180" spans="1:706" ht="24" customHeight="1" x14ac:dyDescent="0.15">
      <c r="A180" s="67">
        <v>32</v>
      </c>
      <c r="C180" s="22"/>
      <c r="D180" s="61"/>
      <c r="E180" s="179"/>
      <c r="F180" s="118"/>
      <c r="G180" s="118"/>
      <c r="H180" s="118"/>
      <c r="I180" s="118"/>
      <c r="J180" s="155"/>
      <c r="K180" s="176" t="s">
        <v>90</v>
      </c>
      <c r="L180" s="136"/>
      <c r="M180" s="136"/>
      <c r="N180" s="136"/>
      <c r="O180" s="183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6"/>
      <c r="AH180" s="136"/>
      <c r="AI180" s="136"/>
      <c r="AJ180" s="136"/>
      <c r="AK180" s="136"/>
      <c r="AL180" s="136"/>
      <c r="AM180" s="136"/>
      <c r="AN180" s="136"/>
      <c r="AO180" s="136"/>
      <c r="AP180" s="136"/>
      <c r="AQ180" s="136"/>
      <c r="AR180" s="136"/>
      <c r="AS180" s="136"/>
      <c r="AT180" s="136"/>
      <c r="AU180" s="136"/>
      <c r="AV180" s="136"/>
      <c r="AW180" s="136"/>
      <c r="AX180" s="136"/>
      <c r="AY180" s="136"/>
      <c r="AZ180" s="136"/>
      <c r="BA180" s="136"/>
      <c r="BB180" s="136"/>
      <c r="BC180" s="136"/>
      <c r="BD180" s="137"/>
      <c r="BE180" s="168"/>
      <c r="BF180" s="136"/>
      <c r="BG180" s="136"/>
      <c r="BH180" s="136"/>
      <c r="BI180" s="136"/>
      <c r="BJ180" s="137"/>
      <c r="BK180" s="154"/>
      <c r="BL180" s="118"/>
      <c r="BM180" s="118"/>
      <c r="BN180" s="118"/>
      <c r="BO180" s="118"/>
      <c r="BP180" s="118"/>
      <c r="BQ180" s="118"/>
      <c r="BR180" s="118"/>
      <c r="BS180" s="118"/>
      <c r="BT180" s="118"/>
      <c r="BU180" s="118"/>
      <c r="BV180" s="118"/>
      <c r="BW180" s="118"/>
      <c r="BX180" s="118"/>
      <c r="BY180" s="118"/>
      <c r="BZ180" s="118"/>
      <c r="CA180" s="118"/>
      <c r="CB180" s="118"/>
      <c r="CC180" s="118"/>
      <c r="CD180" s="118"/>
      <c r="CE180" s="118"/>
      <c r="CF180" s="118"/>
      <c r="CG180" s="118"/>
      <c r="CH180" s="118"/>
      <c r="CI180" s="118"/>
      <c r="CJ180" s="118"/>
      <c r="CK180" s="155"/>
      <c r="CL180" s="149"/>
      <c r="CM180" s="136"/>
      <c r="CN180" s="136"/>
      <c r="CO180" s="136"/>
      <c r="CP180" s="136"/>
      <c r="CQ180" s="136"/>
      <c r="CR180" s="136"/>
      <c r="CS180" s="136"/>
      <c r="CT180" s="136"/>
      <c r="CU180" s="136"/>
      <c r="CV180" s="136"/>
      <c r="CW180" s="137"/>
      <c r="CX180" s="150"/>
      <c r="CY180" s="136"/>
      <c r="CZ180" s="136"/>
      <c r="DA180" s="136"/>
      <c r="DB180" s="136"/>
      <c r="DC180" s="136"/>
      <c r="DD180" s="136"/>
      <c r="DE180" s="137"/>
      <c r="DF180" s="168"/>
      <c r="DG180" s="136"/>
      <c r="DH180" s="136"/>
      <c r="DI180" s="136"/>
      <c r="DJ180" s="136"/>
      <c r="DK180" s="169"/>
      <c r="DL180" s="62"/>
      <c r="DM180" s="22"/>
    </row>
    <row r="181" spans="1:706" ht="24" customHeight="1" x14ac:dyDescent="0.15">
      <c r="A181" s="67">
        <v>32</v>
      </c>
      <c r="C181" s="22"/>
      <c r="D181" s="61"/>
      <c r="E181" s="180"/>
      <c r="F181" s="157"/>
      <c r="G181" s="157"/>
      <c r="H181" s="157"/>
      <c r="I181" s="157"/>
      <c r="J181" s="158"/>
      <c r="K181" s="177" t="s">
        <v>91</v>
      </c>
      <c r="L181" s="146"/>
      <c r="M181" s="146"/>
      <c r="N181" s="146"/>
      <c r="O181" s="184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  <c r="AB181" s="146"/>
      <c r="AC181" s="146"/>
      <c r="AD181" s="146"/>
      <c r="AE181" s="146"/>
      <c r="AF181" s="146"/>
      <c r="AG181" s="146"/>
      <c r="AH181" s="146"/>
      <c r="AI181" s="146"/>
      <c r="AJ181" s="146"/>
      <c r="AK181" s="146"/>
      <c r="AL181" s="146"/>
      <c r="AM181" s="146"/>
      <c r="AN181" s="146"/>
      <c r="AO181" s="146"/>
      <c r="AP181" s="146"/>
      <c r="AQ181" s="146"/>
      <c r="AR181" s="146"/>
      <c r="AS181" s="146"/>
      <c r="AT181" s="146"/>
      <c r="AU181" s="146"/>
      <c r="AV181" s="146"/>
      <c r="AW181" s="146"/>
      <c r="AX181" s="146"/>
      <c r="AY181" s="146"/>
      <c r="AZ181" s="146"/>
      <c r="BA181" s="146"/>
      <c r="BB181" s="146"/>
      <c r="BC181" s="146"/>
      <c r="BD181" s="147"/>
      <c r="BE181" s="170"/>
      <c r="BF181" s="146"/>
      <c r="BG181" s="146"/>
      <c r="BH181" s="146"/>
      <c r="BI181" s="146"/>
      <c r="BJ181" s="147"/>
      <c r="BK181" s="156"/>
      <c r="BL181" s="157"/>
      <c r="BM181" s="157"/>
      <c r="BN181" s="157"/>
      <c r="BO181" s="157"/>
      <c r="BP181" s="157"/>
      <c r="BQ181" s="157"/>
      <c r="BR181" s="157"/>
      <c r="BS181" s="157"/>
      <c r="BT181" s="157"/>
      <c r="BU181" s="157"/>
      <c r="BV181" s="157"/>
      <c r="BW181" s="157"/>
      <c r="BX181" s="157"/>
      <c r="BY181" s="157"/>
      <c r="BZ181" s="157"/>
      <c r="CA181" s="157"/>
      <c r="CB181" s="157"/>
      <c r="CC181" s="157"/>
      <c r="CD181" s="157"/>
      <c r="CE181" s="157"/>
      <c r="CF181" s="157"/>
      <c r="CG181" s="157"/>
      <c r="CH181" s="157"/>
      <c r="CI181" s="157"/>
      <c r="CJ181" s="157"/>
      <c r="CK181" s="158"/>
      <c r="CL181" s="145"/>
      <c r="CM181" s="146"/>
      <c r="CN181" s="146"/>
      <c r="CO181" s="146"/>
      <c r="CP181" s="146"/>
      <c r="CQ181" s="146"/>
      <c r="CR181" s="146"/>
      <c r="CS181" s="146"/>
      <c r="CT181" s="146"/>
      <c r="CU181" s="146"/>
      <c r="CV181" s="146"/>
      <c r="CW181" s="147"/>
      <c r="CX181" s="148"/>
      <c r="CY181" s="146"/>
      <c r="CZ181" s="146"/>
      <c r="DA181" s="146"/>
      <c r="DB181" s="146"/>
      <c r="DC181" s="146"/>
      <c r="DD181" s="146"/>
      <c r="DE181" s="147"/>
      <c r="DF181" s="170"/>
      <c r="DG181" s="146"/>
      <c r="DH181" s="146"/>
      <c r="DI181" s="146"/>
      <c r="DJ181" s="146"/>
      <c r="DK181" s="171"/>
      <c r="DL181" s="62"/>
      <c r="DM181" s="22"/>
    </row>
    <row r="182" spans="1:706" ht="4.5" customHeight="1" x14ac:dyDescent="0.15">
      <c r="A182" s="67">
        <v>5</v>
      </c>
      <c r="C182" s="22"/>
      <c r="D182" s="63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64"/>
      <c r="AR182" s="64"/>
      <c r="AS182" s="64"/>
      <c r="AT182" s="64"/>
      <c r="AU182" s="64"/>
      <c r="AV182" s="64"/>
      <c r="AW182" s="64"/>
      <c r="AX182" s="64"/>
      <c r="AY182" s="64"/>
      <c r="AZ182" s="64"/>
      <c r="BA182" s="64"/>
      <c r="BB182" s="64"/>
      <c r="BC182" s="64"/>
      <c r="BD182" s="64"/>
      <c r="BE182" s="64"/>
      <c r="BF182" s="64"/>
      <c r="BG182" s="64"/>
      <c r="BH182" s="64"/>
      <c r="BI182" s="64"/>
      <c r="BJ182" s="64"/>
      <c r="BK182" s="64"/>
      <c r="BL182" s="64"/>
      <c r="BM182" s="64"/>
      <c r="BN182" s="64"/>
      <c r="BO182" s="64"/>
      <c r="BP182" s="64"/>
      <c r="BQ182" s="64"/>
      <c r="BR182" s="64"/>
      <c r="BS182" s="64"/>
      <c r="BT182" s="64"/>
      <c r="BU182" s="64"/>
      <c r="BV182" s="64"/>
      <c r="BW182" s="64"/>
      <c r="BX182" s="64"/>
      <c r="BY182" s="64"/>
      <c r="BZ182" s="64"/>
      <c r="CA182" s="64"/>
      <c r="CB182" s="64"/>
      <c r="CC182" s="64"/>
      <c r="CD182" s="64"/>
      <c r="CE182" s="64"/>
      <c r="CF182" s="64"/>
      <c r="CG182" s="64"/>
      <c r="CH182" s="64"/>
      <c r="CI182" s="64"/>
      <c r="CJ182" s="64"/>
      <c r="CK182" s="64"/>
      <c r="CL182" s="64"/>
      <c r="CM182" s="64"/>
      <c r="CN182" s="64"/>
      <c r="CO182" s="64"/>
      <c r="CP182" s="64"/>
      <c r="CQ182" s="64"/>
      <c r="CR182" s="64"/>
      <c r="CS182" s="64"/>
      <c r="CT182" s="64"/>
      <c r="CU182" s="64"/>
      <c r="CV182" s="64"/>
      <c r="CW182" s="64"/>
      <c r="CX182" s="64"/>
      <c r="CY182" s="64"/>
      <c r="CZ182" s="64"/>
      <c r="DA182" s="64"/>
      <c r="DB182" s="64"/>
      <c r="DC182" s="64"/>
      <c r="DD182" s="64"/>
      <c r="DE182" s="64"/>
      <c r="DF182" s="64"/>
      <c r="DG182" s="64"/>
      <c r="DH182" s="64"/>
      <c r="DI182" s="64"/>
      <c r="DJ182" s="64"/>
      <c r="DK182" s="64"/>
      <c r="DL182" s="65"/>
      <c r="DM182" s="22"/>
      <c r="DN182" s="13"/>
      <c r="DO182" s="24"/>
    </row>
    <row r="183" spans="1:706" ht="4.5" customHeight="1" x14ac:dyDescent="0.15">
      <c r="A183" s="71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13"/>
    </row>
    <row r="184" spans="1:706" ht="4.5" customHeight="1" x14ac:dyDescent="0.15">
      <c r="A184" s="71"/>
      <c r="BE184" s="4"/>
      <c r="BF184" s="4"/>
      <c r="BG184" s="4"/>
      <c r="BH184" s="4"/>
      <c r="BI184" s="4"/>
      <c r="BJ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N184" s="13"/>
    </row>
    <row r="185" spans="1:706" ht="4.5" customHeight="1" x14ac:dyDescent="0.15">
      <c r="A185" s="71"/>
      <c r="BE185" s="4"/>
      <c r="BF185" s="4"/>
      <c r="BG185" s="4"/>
      <c r="BH185" s="4"/>
      <c r="BI185" s="4"/>
      <c r="BJ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N185" s="13"/>
    </row>
    <row r="186" spans="1:706" ht="15" customHeight="1" x14ac:dyDescent="0.15">
      <c r="A186" s="7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  <c r="HG186" s="4"/>
      <c r="HH186" s="4"/>
      <c r="HI186" s="4"/>
      <c r="HJ186" s="4"/>
      <c r="HK186" s="4"/>
      <c r="HL186" s="4"/>
      <c r="HM186" s="4"/>
      <c r="HN186" s="4"/>
      <c r="HO186" s="4"/>
      <c r="HP186" s="4"/>
      <c r="HQ186" s="4"/>
      <c r="HR186" s="4"/>
      <c r="HS186" s="4"/>
      <c r="HT186" s="4"/>
      <c r="HU186" s="4"/>
      <c r="HV186" s="4"/>
      <c r="HW186" s="4"/>
      <c r="HX186" s="4"/>
      <c r="HY186" s="4"/>
      <c r="HZ186" s="4"/>
      <c r="IA186" s="4"/>
      <c r="IB186" s="4"/>
      <c r="IC186" s="4"/>
      <c r="ID186" s="4"/>
      <c r="IE186" s="4"/>
      <c r="IF186" s="4"/>
      <c r="IG186" s="4"/>
      <c r="IH186" s="4"/>
      <c r="II186" s="4"/>
      <c r="IJ186" s="4"/>
      <c r="IK186" s="4"/>
      <c r="IL186" s="4"/>
      <c r="IM186" s="4"/>
      <c r="IN186" s="4"/>
      <c r="IO186" s="4"/>
      <c r="IP186" s="4"/>
      <c r="IQ186" s="4"/>
      <c r="IR186" s="4"/>
      <c r="IS186" s="4"/>
      <c r="IT186" s="4"/>
      <c r="IU186" s="4"/>
      <c r="IV186" s="4"/>
      <c r="IW186" s="4"/>
      <c r="IX186" s="4"/>
      <c r="IY186" s="4"/>
      <c r="IZ186" s="4"/>
      <c r="JA186" s="4"/>
      <c r="JB186" s="4"/>
      <c r="JC186" s="4"/>
      <c r="JD186" s="4"/>
      <c r="JE186" s="4"/>
      <c r="JF186" s="4"/>
      <c r="JG186" s="4"/>
      <c r="JH186" s="4"/>
      <c r="JI186" s="4"/>
      <c r="JJ186" s="4"/>
      <c r="JK186" s="4"/>
      <c r="JL186" s="4"/>
      <c r="JM186" s="4"/>
      <c r="JN186" s="4"/>
      <c r="JO186" s="4"/>
      <c r="JP186" s="4"/>
      <c r="JQ186" s="4"/>
      <c r="JR186" s="4"/>
      <c r="JS186" s="4"/>
      <c r="JT186" s="4"/>
      <c r="JU186" s="4"/>
      <c r="JV186" s="4"/>
      <c r="JW186" s="4"/>
      <c r="JX186" s="4"/>
      <c r="JY186" s="4"/>
      <c r="JZ186" s="4"/>
      <c r="KA186" s="4"/>
      <c r="KB186" s="4"/>
      <c r="KC186" s="4"/>
      <c r="KD186" s="4"/>
      <c r="KE186" s="4"/>
      <c r="KF186" s="4"/>
      <c r="KG186" s="4"/>
      <c r="KH186" s="4"/>
      <c r="KI186" s="4"/>
      <c r="KJ186" s="4"/>
      <c r="KK186" s="4"/>
      <c r="KL186" s="4"/>
      <c r="KM186" s="4"/>
      <c r="KN186" s="4"/>
      <c r="KO186" s="4"/>
      <c r="KP186" s="4"/>
      <c r="KQ186" s="4"/>
      <c r="KR186" s="4"/>
      <c r="KS186" s="4"/>
      <c r="KT186" s="4"/>
      <c r="KU186" s="4"/>
      <c r="KV186" s="4"/>
      <c r="KW186" s="4"/>
      <c r="KX186" s="4"/>
      <c r="KY186" s="4"/>
      <c r="KZ186" s="4"/>
      <c r="LA186" s="4"/>
      <c r="LB186" s="4"/>
      <c r="LC186" s="4"/>
      <c r="LD186" s="4"/>
      <c r="LE186" s="4"/>
      <c r="LF186" s="4"/>
      <c r="LG186" s="4"/>
      <c r="LH186" s="4"/>
      <c r="LI186" s="4"/>
      <c r="LJ186" s="4"/>
      <c r="LK186" s="4"/>
      <c r="LL186" s="4"/>
      <c r="LM186" s="4"/>
      <c r="LN186" s="4"/>
      <c r="LO186" s="4"/>
      <c r="LP186" s="4"/>
      <c r="LQ186" s="4"/>
      <c r="LR186" s="4"/>
      <c r="LS186" s="4"/>
      <c r="LT186" s="4"/>
      <c r="LU186" s="4"/>
      <c r="LV186" s="4"/>
      <c r="LW186" s="4"/>
      <c r="LX186" s="4"/>
      <c r="LY186" s="4"/>
      <c r="LZ186" s="4"/>
      <c r="MA186" s="4"/>
      <c r="MB186" s="4"/>
      <c r="MC186" s="4"/>
      <c r="MD186" s="4"/>
      <c r="ME186" s="4"/>
      <c r="MF186" s="4"/>
      <c r="MG186" s="4"/>
      <c r="MH186" s="4"/>
      <c r="MI186" s="4"/>
      <c r="MJ186" s="4"/>
      <c r="MK186" s="4"/>
      <c r="ML186" s="4"/>
      <c r="MM186" s="4"/>
      <c r="MN186" s="4"/>
      <c r="MO186" s="4"/>
      <c r="MP186" s="4"/>
      <c r="MQ186" s="4"/>
      <c r="MR186" s="4"/>
      <c r="MS186" s="4"/>
      <c r="MT186" s="4"/>
      <c r="MU186" s="4"/>
      <c r="MV186" s="4"/>
      <c r="MW186" s="4"/>
      <c r="MX186" s="4"/>
      <c r="MY186" s="4"/>
      <c r="MZ186" s="4"/>
      <c r="NA186" s="4"/>
      <c r="NB186" s="4"/>
      <c r="NC186" s="4"/>
      <c r="ND186" s="4"/>
      <c r="NE186" s="4"/>
      <c r="NF186" s="4"/>
      <c r="NG186" s="4"/>
      <c r="NH186" s="4"/>
      <c r="NI186" s="4"/>
      <c r="NJ186" s="4"/>
      <c r="NK186" s="4"/>
      <c r="NL186" s="4"/>
      <c r="NM186" s="4"/>
      <c r="NN186" s="4"/>
      <c r="NO186" s="4"/>
      <c r="NP186" s="4"/>
      <c r="NQ186" s="4"/>
      <c r="NR186" s="4"/>
      <c r="NS186" s="4"/>
      <c r="NT186" s="4"/>
      <c r="NU186" s="4"/>
      <c r="NV186" s="4"/>
      <c r="NW186" s="4"/>
      <c r="NX186" s="4"/>
      <c r="NY186" s="4"/>
      <c r="NZ186" s="4"/>
      <c r="OA186" s="4"/>
      <c r="OB186" s="4"/>
      <c r="OC186" s="4"/>
      <c r="OD186" s="4"/>
      <c r="OE186" s="4"/>
      <c r="OF186" s="4"/>
      <c r="OG186" s="4"/>
      <c r="OH186" s="4"/>
      <c r="OI186" s="4"/>
      <c r="OJ186" s="4"/>
      <c r="OK186" s="4"/>
      <c r="OL186" s="4"/>
      <c r="OM186" s="4"/>
      <c r="ON186" s="4"/>
      <c r="OO186" s="4"/>
      <c r="OP186" s="4"/>
      <c r="OQ186" s="4"/>
      <c r="OR186" s="4"/>
      <c r="OS186" s="4"/>
      <c r="OT186" s="4"/>
      <c r="OU186" s="4"/>
      <c r="OV186" s="4"/>
      <c r="OW186" s="4"/>
      <c r="OX186" s="4"/>
      <c r="OY186" s="4"/>
      <c r="OZ186" s="4"/>
      <c r="PA186" s="4"/>
      <c r="PB186" s="4"/>
      <c r="PC186" s="4"/>
      <c r="PD186" s="4"/>
      <c r="PE186" s="4"/>
      <c r="PF186" s="4"/>
      <c r="PG186" s="4"/>
      <c r="PH186" s="4"/>
      <c r="PI186" s="4"/>
      <c r="PJ186" s="4"/>
      <c r="PK186" s="4"/>
      <c r="PL186" s="4"/>
      <c r="PM186" s="4"/>
      <c r="PN186" s="4"/>
      <c r="PO186" s="4"/>
      <c r="PP186" s="4"/>
      <c r="PQ186" s="4"/>
      <c r="PR186" s="4"/>
      <c r="PS186" s="4"/>
      <c r="PT186" s="4"/>
      <c r="PU186" s="4"/>
      <c r="PV186" s="4"/>
      <c r="PW186" s="4"/>
      <c r="PX186" s="4"/>
      <c r="PY186" s="4"/>
      <c r="PZ186" s="4"/>
      <c r="QA186" s="4"/>
      <c r="QB186" s="4"/>
      <c r="QC186" s="4"/>
      <c r="QD186" s="4"/>
      <c r="QE186" s="4"/>
      <c r="QF186" s="4"/>
      <c r="QG186" s="4"/>
      <c r="QH186" s="4"/>
      <c r="QI186" s="4"/>
      <c r="QJ186" s="4"/>
      <c r="QK186" s="4"/>
      <c r="QL186" s="4"/>
      <c r="QM186" s="4"/>
      <c r="QN186" s="4"/>
      <c r="QO186" s="4"/>
      <c r="QP186" s="4"/>
      <c r="QQ186" s="4"/>
      <c r="QR186" s="4"/>
      <c r="QS186" s="4"/>
      <c r="QT186" s="4"/>
      <c r="QU186" s="4"/>
      <c r="QV186" s="4"/>
      <c r="QW186" s="4"/>
      <c r="QX186" s="4"/>
      <c r="QY186" s="4"/>
      <c r="QZ186" s="4"/>
      <c r="RA186" s="4"/>
      <c r="RB186" s="4"/>
      <c r="RC186" s="4"/>
      <c r="RD186" s="4"/>
      <c r="RE186" s="4"/>
      <c r="RF186" s="4"/>
      <c r="RG186" s="4"/>
      <c r="RH186" s="4"/>
      <c r="RI186" s="4"/>
      <c r="RJ186" s="4"/>
      <c r="RK186" s="4"/>
      <c r="RL186" s="4"/>
      <c r="RM186" s="4"/>
      <c r="RN186" s="4"/>
      <c r="RO186" s="4"/>
      <c r="RP186" s="4"/>
      <c r="RQ186" s="4"/>
      <c r="RR186" s="4"/>
      <c r="RS186" s="4"/>
      <c r="RT186" s="4"/>
      <c r="RU186" s="4"/>
      <c r="RV186" s="4"/>
      <c r="RW186" s="4"/>
      <c r="RX186" s="4"/>
      <c r="RY186" s="4"/>
      <c r="RZ186" s="4"/>
      <c r="SA186" s="4"/>
      <c r="SB186" s="4"/>
      <c r="SC186" s="4"/>
      <c r="SD186" s="4"/>
      <c r="SE186" s="4"/>
      <c r="SF186" s="4"/>
      <c r="SG186" s="4"/>
      <c r="SH186" s="4"/>
      <c r="SI186" s="4"/>
      <c r="SJ186" s="4"/>
      <c r="SK186" s="4"/>
      <c r="SL186" s="4"/>
      <c r="SM186" s="4"/>
      <c r="SN186" s="4"/>
      <c r="SO186" s="4"/>
      <c r="SP186" s="4"/>
      <c r="SQ186" s="4"/>
      <c r="SR186" s="4"/>
      <c r="SS186" s="4"/>
      <c r="ST186" s="4"/>
      <c r="SU186" s="4"/>
      <c r="SV186" s="4"/>
      <c r="SW186" s="4"/>
      <c r="SX186" s="4"/>
      <c r="SY186" s="4"/>
      <c r="SZ186" s="4"/>
      <c r="TA186" s="4"/>
      <c r="TB186" s="4"/>
      <c r="TC186" s="4"/>
      <c r="TD186" s="4"/>
      <c r="TE186" s="4"/>
      <c r="TF186" s="4"/>
      <c r="TG186" s="4"/>
      <c r="TH186" s="4"/>
      <c r="TI186" s="4"/>
      <c r="TJ186" s="4"/>
      <c r="TK186" s="4"/>
      <c r="TL186" s="4"/>
      <c r="TM186" s="4"/>
      <c r="TN186" s="4"/>
      <c r="TO186" s="4"/>
      <c r="TP186" s="4"/>
      <c r="TQ186" s="4"/>
      <c r="TR186" s="4"/>
      <c r="TS186" s="4"/>
      <c r="TT186" s="4"/>
      <c r="TU186" s="4"/>
      <c r="TV186" s="4"/>
      <c r="TW186" s="4"/>
      <c r="TX186" s="4"/>
      <c r="TY186" s="4"/>
      <c r="TZ186" s="4"/>
      <c r="UA186" s="4"/>
      <c r="UB186" s="4"/>
      <c r="UC186" s="4"/>
      <c r="UD186" s="4"/>
      <c r="UE186" s="4"/>
      <c r="UF186" s="4"/>
      <c r="UG186" s="4"/>
      <c r="UH186" s="4"/>
      <c r="UI186" s="4"/>
      <c r="UJ186" s="4"/>
      <c r="UK186" s="4"/>
      <c r="UL186" s="4"/>
      <c r="UM186" s="4"/>
      <c r="UN186" s="4"/>
      <c r="UO186" s="4"/>
      <c r="UP186" s="4"/>
      <c r="UQ186" s="4"/>
      <c r="UR186" s="4"/>
      <c r="US186" s="4"/>
      <c r="UT186" s="4"/>
      <c r="UU186" s="4"/>
      <c r="UV186" s="4"/>
      <c r="UW186" s="4"/>
      <c r="UX186" s="4"/>
      <c r="UY186" s="4"/>
      <c r="UZ186" s="4"/>
      <c r="VA186" s="4"/>
      <c r="VB186" s="4"/>
      <c r="VC186" s="4"/>
      <c r="VD186" s="4"/>
      <c r="VE186" s="4"/>
      <c r="VF186" s="4"/>
      <c r="VG186" s="4"/>
      <c r="VH186" s="4"/>
      <c r="VI186" s="4"/>
      <c r="VJ186" s="4"/>
      <c r="VK186" s="4"/>
      <c r="VL186" s="4"/>
      <c r="VM186" s="4"/>
      <c r="VN186" s="4"/>
      <c r="VO186" s="4"/>
      <c r="VP186" s="4"/>
      <c r="VQ186" s="4"/>
      <c r="VR186" s="4"/>
      <c r="VS186" s="4"/>
      <c r="VT186" s="4"/>
      <c r="VU186" s="4"/>
      <c r="VV186" s="4"/>
      <c r="VW186" s="4"/>
      <c r="VX186" s="4"/>
      <c r="VY186" s="4"/>
      <c r="VZ186" s="4"/>
      <c r="WA186" s="4"/>
      <c r="WB186" s="4"/>
      <c r="WC186" s="4"/>
      <c r="WD186" s="4"/>
      <c r="WE186" s="4"/>
      <c r="WF186" s="4"/>
      <c r="WG186" s="4"/>
      <c r="WH186" s="4"/>
      <c r="WI186" s="4"/>
      <c r="WJ186" s="4"/>
      <c r="WK186" s="4"/>
      <c r="WL186" s="4"/>
      <c r="WM186" s="4"/>
      <c r="WN186" s="4"/>
      <c r="WO186" s="4"/>
      <c r="WP186" s="4"/>
      <c r="WQ186" s="4"/>
      <c r="WR186" s="4"/>
      <c r="WS186" s="4"/>
      <c r="WT186" s="4"/>
      <c r="WU186" s="4"/>
      <c r="WV186" s="4"/>
      <c r="WW186" s="4"/>
      <c r="WX186" s="4"/>
      <c r="WY186" s="4"/>
      <c r="WZ186" s="4"/>
      <c r="XA186" s="4"/>
      <c r="XB186" s="4"/>
      <c r="XC186" s="4"/>
      <c r="XD186" s="4"/>
      <c r="XE186" s="4"/>
      <c r="XF186" s="4"/>
      <c r="XG186" s="4"/>
      <c r="XH186" s="4"/>
      <c r="XI186" s="4"/>
      <c r="XJ186" s="4"/>
      <c r="XK186" s="4"/>
      <c r="XL186" s="4"/>
      <c r="XM186" s="4"/>
      <c r="XN186" s="4"/>
      <c r="XO186" s="4"/>
      <c r="XP186" s="4"/>
      <c r="XQ186" s="4"/>
      <c r="XR186" s="4"/>
      <c r="XS186" s="4"/>
      <c r="XT186" s="4"/>
      <c r="XU186" s="4"/>
      <c r="XV186" s="4"/>
      <c r="XW186" s="4"/>
      <c r="XX186" s="4"/>
      <c r="XY186" s="4"/>
      <c r="XZ186" s="4"/>
      <c r="YA186" s="4"/>
      <c r="YB186" s="4"/>
      <c r="YC186" s="4"/>
      <c r="YD186" s="4"/>
      <c r="YE186" s="4"/>
      <c r="YF186" s="4"/>
      <c r="YG186" s="4"/>
      <c r="YH186" s="4"/>
      <c r="YI186" s="4"/>
      <c r="YJ186" s="4"/>
      <c r="YK186" s="4"/>
      <c r="YL186" s="4"/>
      <c r="YM186" s="4"/>
      <c r="YN186" s="4"/>
      <c r="YO186" s="4"/>
      <c r="YP186" s="4"/>
      <c r="YQ186" s="4"/>
      <c r="YR186" s="4"/>
      <c r="YS186" s="4"/>
      <c r="YT186" s="4"/>
      <c r="YU186" s="4"/>
      <c r="YV186" s="4"/>
      <c r="YW186" s="4"/>
      <c r="YX186" s="4"/>
      <c r="YY186" s="4"/>
      <c r="YZ186" s="4"/>
      <c r="ZA186" s="4"/>
      <c r="ZB186" s="4"/>
      <c r="ZC186" s="4"/>
      <c r="ZD186" s="4"/>
      <c r="ZE186" s="4"/>
      <c r="ZF186" s="4"/>
      <c r="ZG186" s="4"/>
      <c r="ZH186" s="4"/>
      <c r="ZI186" s="4"/>
      <c r="ZJ186" s="4"/>
      <c r="ZK186" s="4"/>
      <c r="ZL186" s="4"/>
      <c r="ZM186" s="4"/>
      <c r="ZN186" s="4"/>
      <c r="ZO186" s="4"/>
      <c r="ZP186" s="4"/>
      <c r="ZQ186" s="4"/>
      <c r="ZR186" s="4"/>
      <c r="ZS186" s="4"/>
      <c r="ZT186" s="4"/>
      <c r="ZU186" s="4"/>
      <c r="ZV186" s="4"/>
      <c r="ZW186" s="4"/>
      <c r="ZX186" s="4"/>
      <c r="ZY186" s="4"/>
      <c r="ZZ186" s="4"/>
      <c r="AAA186" s="4"/>
      <c r="AAB186" s="4"/>
      <c r="AAC186" s="4"/>
      <c r="AAD186" s="4"/>
    </row>
    <row r="187" spans="1:706" ht="37.5" customHeight="1" x14ac:dyDescent="0.15">
      <c r="A187" s="7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  <c r="HI187" s="4"/>
      <c r="HJ187" s="4"/>
      <c r="HK187" s="4"/>
      <c r="HL187" s="4"/>
      <c r="HM187" s="4"/>
      <c r="HN187" s="4"/>
      <c r="HO187" s="4"/>
      <c r="HP187" s="4"/>
      <c r="HQ187" s="4"/>
      <c r="HR187" s="4"/>
      <c r="HS187" s="4"/>
      <c r="HT187" s="4"/>
      <c r="HU187" s="4"/>
      <c r="HV187" s="4"/>
      <c r="HW187" s="4"/>
      <c r="HX187" s="4"/>
      <c r="HY187" s="4"/>
      <c r="HZ187" s="4"/>
      <c r="IA187" s="4"/>
      <c r="IB187" s="4"/>
      <c r="IC187" s="4"/>
      <c r="ID187" s="4"/>
      <c r="IE187" s="4"/>
      <c r="IF187" s="4"/>
      <c r="IG187" s="4"/>
      <c r="IH187" s="4"/>
      <c r="II187" s="4"/>
      <c r="IJ187" s="4"/>
      <c r="IK187" s="4"/>
      <c r="IL187" s="4"/>
      <c r="IM187" s="4"/>
      <c r="IN187" s="4"/>
      <c r="IO187" s="4"/>
      <c r="IP187" s="4"/>
      <c r="IQ187" s="4"/>
      <c r="IR187" s="4"/>
      <c r="IS187" s="4"/>
      <c r="IT187" s="4"/>
      <c r="IU187" s="4"/>
      <c r="IV187" s="4"/>
      <c r="IW187" s="4"/>
      <c r="IX187" s="4"/>
      <c r="IY187" s="4"/>
      <c r="IZ187" s="4"/>
      <c r="JA187" s="4"/>
      <c r="JB187" s="4"/>
      <c r="JC187" s="4"/>
      <c r="JD187" s="4"/>
      <c r="JE187" s="4"/>
      <c r="JF187" s="4"/>
      <c r="JG187" s="4"/>
      <c r="JH187" s="4"/>
      <c r="JI187" s="4"/>
      <c r="JJ187" s="4"/>
      <c r="JK187" s="4"/>
      <c r="JL187" s="4"/>
      <c r="JM187" s="4"/>
      <c r="JN187" s="4"/>
      <c r="JO187" s="4"/>
      <c r="JP187" s="4"/>
      <c r="JQ187" s="4"/>
      <c r="JR187" s="4"/>
      <c r="JS187" s="4"/>
      <c r="JT187" s="4"/>
      <c r="JU187" s="4"/>
      <c r="JV187" s="4"/>
      <c r="JW187" s="4"/>
      <c r="JX187" s="4"/>
      <c r="JY187" s="4"/>
      <c r="JZ187" s="4"/>
      <c r="KA187" s="4"/>
      <c r="KB187" s="4"/>
      <c r="KC187" s="4"/>
      <c r="KD187" s="4"/>
      <c r="KE187" s="4"/>
      <c r="KF187" s="4"/>
      <c r="KG187" s="4"/>
      <c r="KH187" s="4"/>
      <c r="KI187" s="4"/>
      <c r="KJ187" s="4"/>
      <c r="KK187" s="4"/>
      <c r="KL187" s="4"/>
      <c r="KM187" s="4"/>
      <c r="KN187" s="4"/>
      <c r="KO187" s="4"/>
      <c r="KP187" s="4"/>
      <c r="KQ187" s="4"/>
      <c r="KR187" s="4"/>
      <c r="KS187" s="4"/>
      <c r="KT187" s="4"/>
      <c r="KU187" s="4"/>
      <c r="KV187" s="4"/>
      <c r="KW187" s="4"/>
      <c r="KX187" s="4"/>
      <c r="KY187" s="4"/>
      <c r="KZ187" s="4"/>
      <c r="LA187" s="4"/>
      <c r="LB187" s="4"/>
      <c r="LC187" s="4"/>
      <c r="LD187" s="4"/>
      <c r="LE187" s="4"/>
      <c r="LF187" s="4"/>
      <c r="LG187" s="4"/>
      <c r="LH187" s="4"/>
      <c r="LI187" s="4"/>
      <c r="LJ187" s="4"/>
      <c r="LK187" s="4"/>
      <c r="LL187" s="4"/>
      <c r="LM187" s="4"/>
      <c r="LN187" s="4"/>
      <c r="LO187" s="4"/>
      <c r="LP187" s="4"/>
      <c r="LQ187" s="4"/>
      <c r="LR187" s="4"/>
      <c r="LS187" s="4"/>
      <c r="LT187" s="4"/>
      <c r="LU187" s="4"/>
      <c r="LV187" s="4"/>
      <c r="LW187" s="4"/>
      <c r="LX187" s="4"/>
      <c r="LY187" s="4"/>
      <c r="LZ187" s="4"/>
      <c r="MA187" s="4"/>
      <c r="MB187" s="4"/>
      <c r="MC187" s="4"/>
      <c r="MD187" s="4"/>
      <c r="ME187" s="4"/>
      <c r="MF187" s="4"/>
      <c r="MG187" s="4"/>
      <c r="MH187" s="4"/>
      <c r="MI187" s="4"/>
      <c r="MJ187" s="4"/>
      <c r="MK187" s="4"/>
      <c r="ML187" s="4"/>
      <c r="MM187" s="4"/>
      <c r="MN187" s="4"/>
      <c r="MO187" s="4"/>
      <c r="MP187" s="4"/>
      <c r="MQ187" s="4"/>
      <c r="MR187" s="4"/>
      <c r="MS187" s="4"/>
      <c r="MT187" s="4"/>
      <c r="MU187" s="4"/>
      <c r="MV187" s="4"/>
      <c r="MW187" s="4"/>
      <c r="MX187" s="4"/>
      <c r="MY187" s="4"/>
      <c r="MZ187" s="4"/>
      <c r="NA187" s="4"/>
      <c r="NB187" s="4"/>
      <c r="NC187" s="4"/>
      <c r="ND187" s="4"/>
      <c r="NE187" s="4"/>
      <c r="NF187" s="4"/>
      <c r="NG187" s="4"/>
      <c r="NH187" s="4"/>
      <c r="NI187" s="4"/>
      <c r="NJ187" s="4"/>
      <c r="NK187" s="4"/>
      <c r="NL187" s="4"/>
      <c r="NM187" s="4"/>
      <c r="NN187" s="4"/>
      <c r="NO187" s="4"/>
      <c r="NP187" s="4"/>
      <c r="NQ187" s="4"/>
      <c r="NR187" s="4"/>
      <c r="NS187" s="4"/>
      <c r="NT187" s="4"/>
      <c r="NU187" s="4"/>
      <c r="NV187" s="4"/>
      <c r="NW187" s="4"/>
      <c r="NX187" s="4"/>
      <c r="NY187" s="4"/>
      <c r="NZ187" s="4"/>
      <c r="OA187" s="4"/>
      <c r="OB187" s="4"/>
      <c r="OC187" s="4"/>
      <c r="OD187" s="4"/>
      <c r="OE187" s="4"/>
      <c r="OF187" s="4"/>
      <c r="OG187" s="4"/>
      <c r="OH187" s="4"/>
      <c r="OI187" s="4"/>
      <c r="OJ187" s="4"/>
      <c r="OK187" s="4"/>
      <c r="OL187" s="4"/>
      <c r="OM187" s="4"/>
      <c r="ON187" s="4"/>
      <c r="OO187" s="4"/>
      <c r="OP187" s="4"/>
      <c r="OQ187" s="4"/>
      <c r="OR187" s="4"/>
      <c r="OS187" s="4"/>
      <c r="OT187" s="4"/>
      <c r="OU187" s="4"/>
      <c r="OV187" s="4"/>
      <c r="OW187" s="4"/>
      <c r="OX187" s="4"/>
      <c r="OY187" s="4"/>
      <c r="OZ187" s="4"/>
      <c r="PA187" s="4"/>
      <c r="PB187" s="4"/>
      <c r="PC187" s="4"/>
      <c r="PD187" s="4"/>
      <c r="PE187" s="4"/>
      <c r="PF187" s="4"/>
      <c r="PG187" s="4"/>
      <c r="PH187" s="4"/>
      <c r="PI187" s="4"/>
      <c r="PJ187" s="4"/>
      <c r="PK187" s="4"/>
      <c r="PL187" s="4"/>
      <c r="PM187" s="4"/>
      <c r="PN187" s="4"/>
      <c r="PO187" s="4"/>
      <c r="PP187" s="4"/>
      <c r="PQ187" s="4"/>
      <c r="PR187" s="4"/>
      <c r="PS187" s="4"/>
      <c r="PT187" s="4"/>
      <c r="PU187" s="4"/>
      <c r="PV187" s="4"/>
      <c r="PW187" s="4"/>
      <c r="PX187" s="4"/>
      <c r="PY187" s="4"/>
      <c r="PZ187" s="4"/>
      <c r="QA187" s="4"/>
      <c r="QB187" s="4"/>
      <c r="QC187" s="4"/>
      <c r="QD187" s="4"/>
      <c r="QE187" s="4"/>
      <c r="QF187" s="4"/>
      <c r="QG187" s="4"/>
      <c r="QH187" s="4"/>
      <c r="QI187" s="4"/>
      <c r="QJ187" s="4"/>
      <c r="QK187" s="4"/>
      <c r="QL187" s="4"/>
      <c r="QM187" s="4"/>
      <c r="QN187" s="4"/>
      <c r="QO187" s="4"/>
      <c r="QP187" s="4"/>
      <c r="QQ187" s="4"/>
      <c r="QR187" s="4"/>
      <c r="QS187" s="4"/>
      <c r="QT187" s="4"/>
      <c r="QU187" s="4"/>
      <c r="QV187" s="4"/>
      <c r="QW187" s="4"/>
      <c r="QX187" s="4"/>
      <c r="QY187" s="4"/>
      <c r="QZ187" s="4"/>
      <c r="RA187" s="4"/>
      <c r="RB187" s="4"/>
      <c r="RC187" s="4"/>
      <c r="RD187" s="4"/>
      <c r="RE187" s="4"/>
      <c r="RF187" s="4"/>
      <c r="RG187" s="4"/>
      <c r="RH187" s="4"/>
      <c r="RI187" s="4"/>
      <c r="RJ187" s="4"/>
      <c r="RK187" s="4"/>
      <c r="RL187" s="4"/>
      <c r="RM187" s="4"/>
      <c r="RN187" s="4"/>
      <c r="RO187" s="4"/>
      <c r="RP187" s="4"/>
      <c r="RQ187" s="4"/>
      <c r="RR187" s="4"/>
      <c r="RS187" s="4"/>
      <c r="RT187" s="4"/>
      <c r="RU187" s="4"/>
      <c r="RV187" s="4"/>
      <c r="RW187" s="4"/>
      <c r="RX187" s="4"/>
      <c r="RY187" s="4"/>
      <c r="RZ187" s="4"/>
      <c r="SA187" s="4"/>
      <c r="SB187" s="4"/>
      <c r="SC187" s="4"/>
      <c r="SD187" s="4"/>
      <c r="SE187" s="4"/>
      <c r="SF187" s="4"/>
      <c r="SG187" s="4"/>
      <c r="SH187" s="4"/>
      <c r="SI187" s="4"/>
      <c r="SJ187" s="4"/>
      <c r="SK187" s="4"/>
      <c r="SL187" s="4"/>
      <c r="SM187" s="4"/>
      <c r="SN187" s="4"/>
      <c r="SO187" s="4"/>
      <c r="SP187" s="4"/>
      <c r="SQ187" s="4"/>
      <c r="SR187" s="4"/>
      <c r="SS187" s="4"/>
      <c r="ST187" s="4"/>
      <c r="SU187" s="4"/>
      <c r="SV187" s="4"/>
      <c r="SW187" s="4"/>
      <c r="SX187" s="4"/>
      <c r="SY187" s="4"/>
      <c r="SZ187" s="4"/>
      <c r="TA187" s="4"/>
      <c r="TB187" s="4"/>
      <c r="TC187" s="4"/>
      <c r="TD187" s="4"/>
      <c r="TE187" s="4"/>
      <c r="TF187" s="4"/>
      <c r="TG187" s="4"/>
      <c r="TH187" s="4"/>
      <c r="TI187" s="4"/>
      <c r="TJ187" s="4"/>
      <c r="TK187" s="4"/>
      <c r="TL187" s="4"/>
      <c r="TM187" s="4"/>
      <c r="TN187" s="4"/>
      <c r="TO187" s="4"/>
      <c r="TP187" s="4"/>
      <c r="TQ187" s="4"/>
      <c r="TR187" s="4"/>
      <c r="TS187" s="4"/>
      <c r="TT187" s="4"/>
      <c r="TU187" s="4"/>
      <c r="TV187" s="4"/>
      <c r="TW187" s="4"/>
      <c r="TX187" s="4"/>
      <c r="TY187" s="4"/>
      <c r="TZ187" s="4"/>
      <c r="UA187" s="4"/>
      <c r="UB187" s="4"/>
      <c r="UC187" s="4"/>
      <c r="UD187" s="4"/>
      <c r="UE187" s="4"/>
      <c r="UF187" s="4"/>
      <c r="UG187" s="4"/>
      <c r="UH187" s="4"/>
      <c r="UI187" s="4"/>
      <c r="UJ187" s="4"/>
      <c r="UK187" s="4"/>
      <c r="UL187" s="4"/>
      <c r="UM187" s="4"/>
      <c r="UN187" s="4"/>
      <c r="UO187" s="4"/>
      <c r="UP187" s="4"/>
      <c r="UQ187" s="4"/>
      <c r="UR187" s="4"/>
      <c r="US187" s="4"/>
      <c r="UT187" s="4"/>
      <c r="UU187" s="4"/>
      <c r="UV187" s="4"/>
      <c r="UW187" s="4"/>
      <c r="UX187" s="4"/>
      <c r="UY187" s="4"/>
      <c r="UZ187" s="4"/>
      <c r="VA187" s="4"/>
      <c r="VB187" s="4"/>
      <c r="VC187" s="4"/>
      <c r="VD187" s="4"/>
      <c r="VE187" s="4"/>
      <c r="VF187" s="4"/>
      <c r="VG187" s="4"/>
      <c r="VH187" s="4"/>
      <c r="VI187" s="4"/>
      <c r="VJ187" s="4"/>
      <c r="VK187" s="4"/>
      <c r="VL187" s="4"/>
      <c r="VM187" s="4"/>
      <c r="VN187" s="4"/>
      <c r="VO187" s="4"/>
      <c r="VP187" s="4"/>
      <c r="VQ187" s="4"/>
      <c r="VR187" s="4"/>
      <c r="VS187" s="4"/>
      <c r="VT187" s="4"/>
      <c r="VU187" s="4"/>
      <c r="VV187" s="4"/>
      <c r="VW187" s="4"/>
      <c r="VX187" s="4"/>
      <c r="VY187" s="4"/>
      <c r="VZ187" s="4"/>
      <c r="WA187" s="4"/>
      <c r="WB187" s="4"/>
      <c r="WC187" s="4"/>
      <c r="WD187" s="4"/>
      <c r="WE187" s="4"/>
      <c r="WF187" s="4"/>
      <c r="WG187" s="4"/>
      <c r="WH187" s="4"/>
      <c r="WI187" s="4"/>
      <c r="WJ187" s="4"/>
      <c r="WK187" s="4"/>
      <c r="WL187" s="4"/>
      <c r="WM187" s="4"/>
      <c r="WN187" s="4"/>
      <c r="WO187" s="4"/>
      <c r="WP187" s="4"/>
      <c r="WQ187" s="4"/>
      <c r="WR187" s="4"/>
      <c r="WS187" s="4"/>
      <c r="WT187" s="4"/>
      <c r="WU187" s="4"/>
      <c r="WV187" s="4"/>
      <c r="WW187" s="4"/>
      <c r="WX187" s="4"/>
      <c r="WY187" s="4"/>
      <c r="WZ187" s="4"/>
      <c r="XA187" s="4"/>
      <c r="XB187" s="4"/>
      <c r="XC187" s="4"/>
      <c r="XD187" s="4"/>
      <c r="XE187" s="4"/>
      <c r="XF187" s="4"/>
      <c r="XG187" s="4"/>
      <c r="XH187" s="4"/>
      <c r="XI187" s="4"/>
      <c r="XJ187" s="4"/>
      <c r="XK187" s="4"/>
      <c r="XL187" s="4"/>
      <c r="XM187" s="4"/>
      <c r="XN187" s="4"/>
      <c r="XO187" s="4"/>
      <c r="XP187" s="4"/>
      <c r="XQ187" s="4"/>
      <c r="XR187" s="4"/>
      <c r="XS187" s="4"/>
      <c r="XT187" s="4"/>
      <c r="XU187" s="4"/>
      <c r="XV187" s="4"/>
      <c r="XW187" s="4"/>
      <c r="XX187" s="4"/>
      <c r="XY187" s="4"/>
      <c r="XZ187" s="4"/>
      <c r="YA187" s="4"/>
      <c r="YB187" s="4"/>
      <c r="YC187" s="4"/>
      <c r="YD187" s="4"/>
      <c r="YE187" s="4"/>
      <c r="YF187" s="4"/>
      <c r="YG187" s="4"/>
      <c r="YH187" s="4"/>
      <c r="YI187" s="4"/>
      <c r="YJ187" s="4"/>
      <c r="YK187" s="4"/>
      <c r="YL187" s="4"/>
      <c r="YM187" s="4"/>
      <c r="YN187" s="4"/>
      <c r="YO187" s="4"/>
      <c r="YP187" s="4"/>
      <c r="YQ187" s="4"/>
      <c r="YR187" s="4"/>
      <c r="YS187" s="4"/>
      <c r="YT187" s="4"/>
      <c r="YU187" s="4"/>
      <c r="YV187" s="4"/>
      <c r="YW187" s="4"/>
      <c r="YX187" s="4"/>
      <c r="YY187" s="4"/>
      <c r="YZ187" s="4"/>
      <c r="ZA187" s="4"/>
      <c r="ZB187" s="4"/>
      <c r="ZC187" s="4"/>
      <c r="ZD187" s="4"/>
      <c r="ZE187" s="4"/>
      <c r="ZF187" s="4"/>
      <c r="ZG187" s="4"/>
      <c r="ZH187" s="4"/>
      <c r="ZI187" s="4"/>
      <c r="ZJ187" s="4"/>
      <c r="ZK187" s="4"/>
      <c r="ZL187" s="4"/>
      <c r="ZM187" s="4"/>
      <c r="ZN187" s="4"/>
      <c r="ZO187" s="4"/>
      <c r="ZP187" s="4"/>
      <c r="ZQ187" s="4"/>
      <c r="ZR187" s="4"/>
      <c r="ZS187" s="4"/>
      <c r="ZT187" s="4"/>
      <c r="ZU187" s="4"/>
      <c r="ZV187" s="4"/>
      <c r="ZW187" s="4"/>
      <c r="ZX187" s="4"/>
      <c r="ZY187" s="4"/>
      <c r="ZZ187" s="4"/>
      <c r="AAA187" s="4"/>
      <c r="AAB187" s="4"/>
      <c r="AAC187" s="4"/>
      <c r="AAD187" s="4"/>
    </row>
    <row r="188" spans="1:706" ht="3" customHeight="1" x14ac:dyDescent="0.15">
      <c r="A188" s="72"/>
      <c r="B188" s="4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13"/>
      <c r="DO188" s="13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  <c r="HO188" s="4"/>
      <c r="HP188" s="4"/>
      <c r="HQ188" s="4"/>
      <c r="HR188" s="4"/>
      <c r="HS188" s="4"/>
      <c r="HT188" s="4"/>
      <c r="HU188" s="4"/>
      <c r="HV188" s="4"/>
      <c r="HW188" s="4"/>
      <c r="HX188" s="4"/>
      <c r="HY188" s="4"/>
      <c r="HZ188" s="4"/>
      <c r="IA188" s="4"/>
      <c r="IB188" s="4"/>
      <c r="IC188" s="4"/>
      <c r="ID188" s="4"/>
      <c r="IE188" s="4"/>
      <c r="IF188" s="4"/>
      <c r="IG188" s="4"/>
      <c r="IH188" s="4"/>
      <c r="II188" s="4"/>
      <c r="IJ188" s="4"/>
      <c r="IK188" s="4"/>
      <c r="IL188" s="4"/>
      <c r="IM188" s="4"/>
      <c r="IN188" s="4"/>
      <c r="IO188" s="4"/>
      <c r="IP188" s="4"/>
      <c r="IQ188" s="4"/>
      <c r="IR188" s="4"/>
      <c r="IS188" s="4"/>
      <c r="IT188" s="4"/>
      <c r="IU188" s="4"/>
      <c r="IV188" s="4"/>
      <c r="IW188" s="4"/>
      <c r="IX188" s="4"/>
      <c r="IY188" s="4"/>
      <c r="IZ188" s="4"/>
      <c r="JA188" s="4"/>
      <c r="JB188" s="4"/>
      <c r="JC188" s="4"/>
      <c r="JD188" s="4"/>
      <c r="JE188" s="4"/>
      <c r="JF188" s="4"/>
      <c r="JG188" s="4"/>
      <c r="JH188" s="4"/>
      <c r="JI188" s="4"/>
      <c r="JJ188" s="4"/>
      <c r="JK188" s="4"/>
      <c r="JL188" s="4"/>
      <c r="JM188" s="4"/>
      <c r="JN188" s="4"/>
      <c r="JO188" s="4"/>
      <c r="JP188" s="4"/>
      <c r="JQ188" s="4"/>
      <c r="JR188" s="4"/>
      <c r="JS188" s="4"/>
      <c r="JT188" s="4"/>
      <c r="JU188" s="4"/>
      <c r="JV188" s="4"/>
      <c r="JW188" s="4"/>
      <c r="JX188" s="4"/>
      <c r="JY188" s="4"/>
      <c r="JZ188" s="4"/>
      <c r="KA188" s="4"/>
      <c r="KB188" s="4"/>
      <c r="KC188" s="4"/>
      <c r="KD188" s="4"/>
      <c r="KE188" s="4"/>
      <c r="KF188" s="4"/>
      <c r="KG188" s="4"/>
      <c r="KH188" s="4"/>
      <c r="KI188" s="4"/>
      <c r="KJ188" s="4"/>
      <c r="KK188" s="4"/>
      <c r="KL188" s="4"/>
      <c r="KM188" s="4"/>
      <c r="KN188" s="4"/>
      <c r="KO188" s="4"/>
      <c r="KP188" s="4"/>
      <c r="KQ188" s="4"/>
      <c r="KR188" s="4"/>
      <c r="KS188" s="4"/>
      <c r="KT188" s="4"/>
      <c r="KU188" s="4"/>
      <c r="KV188" s="4"/>
      <c r="KW188" s="4"/>
      <c r="KX188" s="4"/>
      <c r="KY188" s="4"/>
      <c r="KZ188" s="4"/>
      <c r="LA188" s="4"/>
      <c r="LB188" s="4"/>
      <c r="LC188" s="4"/>
      <c r="LD188" s="4"/>
      <c r="LE188" s="4"/>
      <c r="LF188" s="4"/>
      <c r="LG188" s="4"/>
      <c r="LH188" s="4"/>
      <c r="LI188" s="4"/>
      <c r="LJ188" s="4"/>
      <c r="LK188" s="4"/>
      <c r="LL188" s="4"/>
      <c r="LM188" s="4"/>
      <c r="LN188" s="4"/>
      <c r="LO188" s="4"/>
      <c r="LP188" s="4"/>
      <c r="LQ188" s="4"/>
      <c r="LR188" s="4"/>
      <c r="LS188" s="4"/>
      <c r="LT188" s="4"/>
      <c r="LU188" s="4"/>
      <c r="LV188" s="4"/>
      <c r="LW188" s="4"/>
      <c r="LX188" s="4"/>
      <c r="LY188" s="4"/>
      <c r="LZ188" s="4"/>
      <c r="MA188" s="4"/>
      <c r="MB188" s="4"/>
      <c r="MC188" s="4"/>
      <c r="MD188" s="4"/>
      <c r="ME188" s="4"/>
      <c r="MF188" s="4"/>
      <c r="MG188" s="4"/>
      <c r="MH188" s="4"/>
      <c r="MI188" s="4"/>
      <c r="MJ188" s="4"/>
      <c r="MK188" s="4"/>
      <c r="ML188" s="4"/>
      <c r="MM188" s="4"/>
      <c r="MN188" s="4"/>
      <c r="MO188" s="4"/>
      <c r="MP188" s="4"/>
      <c r="MQ188" s="4"/>
      <c r="MR188" s="4"/>
      <c r="MS188" s="4"/>
      <c r="MT188" s="4"/>
      <c r="MU188" s="4"/>
      <c r="MV188" s="4"/>
      <c r="MW188" s="4"/>
      <c r="MX188" s="4"/>
      <c r="MY188" s="4"/>
      <c r="MZ188" s="4"/>
      <c r="NA188" s="4"/>
      <c r="NB188" s="4"/>
      <c r="NC188" s="4"/>
      <c r="ND188" s="4"/>
      <c r="NE188" s="4"/>
      <c r="NF188" s="4"/>
      <c r="NG188" s="4"/>
      <c r="NH188" s="4"/>
      <c r="NI188" s="4"/>
      <c r="NJ188" s="4"/>
      <c r="NK188" s="4"/>
      <c r="NL188" s="4"/>
      <c r="NM188" s="4"/>
      <c r="NN188" s="4"/>
      <c r="NO188" s="4"/>
      <c r="NP188" s="4"/>
      <c r="NQ188" s="4"/>
      <c r="NR188" s="4"/>
      <c r="NS188" s="4"/>
      <c r="NT188" s="4"/>
      <c r="NU188" s="4"/>
      <c r="NV188" s="4"/>
      <c r="NW188" s="4"/>
      <c r="NX188" s="4"/>
      <c r="NY188" s="4"/>
      <c r="NZ188" s="4"/>
      <c r="OA188" s="4"/>
      <c r="OB188" s="4"/>
      <c r="OC188" s="4"/>
      <c r="OD188" s="4"/>
      <c r="OE188" s="4"/>
      <c r="OF188" s="4"/>
      <c r="OG188" s="4"/>
      <c r="OH188" s="4"/>
      <c r="OI188" s="4"/>
      <c r="OJ188" s="4"/>
      <c r="OK188" s="4"/>
      <c r="OL188" s="4"/>
      <c r="OM188" s="4"/>
      <c r="ON188" s="4"/>
      <c r="OO188" s="4"/>
      <c r="OP188" s="4"/>
      <c r="OQ188" s="4"/>
      <c r="OR188" s="4"/>
      <c r="OS188" s="4"/>
      <c r="OT188" s="4"/>
      <c r="OU188" s="4"/>
      <c r="OV188" s="4"/>
      <c r="OW188" s="4"/>
      <c r="OX188" s="4"/>
      <c r="OY188" s="4"/>
      <c r="OZ188" s="4"/>
      <c r="PA188" s="4"/>
      <c r="PB188" s="4"/>
      <c r="PC188" s="4"/>
      <c r="PD188" s="4"/>
      <c r="PE188" s="4"/>
      <c r="PF188" s="4"/>
      <c r="PG188" s="4"/>
      <c r="PH188" s="4"/>
      <c r="PI188" s="4"/>
      <c r="PJ188" s="4"/>
      <c r="PK188" s="4"/>
      <c r="PL188" s="4"/>
      <c r="PM188" s="4"/>
      <c r="PN188" s="4"/>
      <c r="PO188" s="4"/>
      <c r="PP188" s="4"/>
      <c r="PQ188" s="4"/>
      <c r="PR188" s="4"/>
      <c r="PS188" s="4"/>
      <c r="PT188" s="4"/>
      <c r="PU188" s="4"/>
      <c r="PV188" s="4"/>
      <c r="PW188" s="4"/>
      <c r="PX188" s="4"/>
      <c r="PY188" s="4"/>
      <c r="PZ188" s="4"/>
      <c r="QA188" s="4"/>
      <c r="QB188" s="4"/>
      <c r="QC188" s="4"/>
      <c r="QD188" s="4"/>
      <c r="QE188" s="4"/>
      <c r="QF188" s="4"/>
      <c r="QG188" s="4"/>
      <c r="QH188" s="4"/>
      <c r="QI188" s="4"/>
      <c r="QJ188" s="4"/>
      <c r="QK188" s="4"/>
      <c r="QL188" s="4"/>
      <c r="QM188" s="4"/>
      <c r="QN188" s="4"/>
      <c r="QO188" s="4"/>
      <c r="QP188" s="4"/>
      <c r="QQ188" s="4"/>
      <c r="QR188" s="4"/>
      <c r="QS188" s="4"/>
      <c r="QT188" s="4"/>
      <c r="QU188" s="4"/>
      <c r="QV188" s="4"/>
      <c r="QW188" s="4"/>
      <c r="QX188" s="4"/>
      <c r="QY188" s="4"/>
      <c r="QZ188" s="4"/>
      <c r="RA188" s="4"/>
      <c r="RB188" s="4"/>
      <c r="RC188" s="4"/>
      <c r="RD188" s="4"/>
      <c r="RE188" s="4"/>
      <c r="RF188" s="4"/>
      <c r="RG188" s="4"/>
      <c r="RH188" s="4"/>
      <c r="RI188" s="4"/>
      <c r="RJ188" s="4"/>
      <c r="RK188" s="4"/>
      <c r="RL188" s="4"/>
      <c r="RM188" s="4"/>
      <c r="RN188" s="4"/>
      <c r="RO188" s="4"/>
      <c r="RP188" s="4"/>
      <c r="RQ188" s="4"/>
      <c r="RR188" s="4"/>
      <c r="RS188" s="4"/>
      <c r="RT188" s="4"/>
      <c r="RU188" s="4"/>
      <c r="RV188" s="4"/>
      <c r="RW188" s="4"/>
      <c r="RX188" s="4"/>
      <c r="RY188" s="4"/>
      <c r="RZ188" s="4"/>
      <c r="SA188" s="4"/>
      <c r="SB188" s="4"/>
      <c r="SC188" s="4"/>
      <c r="SD188" s="4"/>
      <c r="SE188" s="4"/>
      <c r="SF188" s="4"/>
      <c r="SG188" s="4"/>
      <c r="SH188" s="4"/>
      <c r="SI188" s="4"/>
      <c r="SJ188" s="4"/>
      <c r="SK188" s="4"/>
      <c r="SL188" s="4"/>
      <c r="SM188" s="4"/>
      <c r="SN188" s="4"/>
      <c r="SO188" s="4"/>
      <c r="SP188" s="4"/>
      <c r="SQ188" s="4"/>
      <c r="SR188" s="4"/>
      <c r="SS188" s="4"/>
      <c r="ST188" s="4"/>
      <c r="SU188" s="4"/>
      <c r="SV188" s="4"/>
      <c r="SW188" s="4"/>
      <c r="SX188" s="4"/>
      <c r="SY188" s="4"/>
      <c r="SZ188" s="4"/>
      <c r="TA188" s="4"/>
      <c r="TB188" s="4"/>
      <c r="TC188" s="4"/>
      <c r="TD188" s="4"/>
      <c r="TE188" s="4"/>
      <c r="TF188" s="4"/>
      <c r="TG188" s="4"/>
      <c r="TH188" s="4"/>
      <c r="TI188" s="4"/>
      <c r="TJ188" s="4"/>
      <c r="TK188" s="4"/>
      <c r="TL188" s="4"/>
      <c r="TM188" s="4"/>
      <c r="TN188" s="4"/>
      <c r="TO188" s="4"/>
      <c r="TP188" s="4"/>
      <c r="TQ188" s="4"/>
      <c r="TR188" s="4"/>
      <c r="TS188" s="4"/>
      <c r="TT188" s="4"/>
      <c r="TU188" s="4"/>
      <c r="TV188" s="4"/>
      <c r="TW188" s="4"/>
      <c r="TX188" s="4"/>
      <c r="TY188" s="4"/>
      <c r="TZ188" s="4"/>
      <c r="UA188" s="4"/>
      <c r="UB188" s="4"/>
      <c r="UC188" s="4"/>
      <c r="UD188" s="4"/>
      <c r="UE188" s="4"/>
      <c r="UF188" s="4"/>
      <c r="UG188" s="4"/>
      <c r="UH188" s="4"/>
      <c r="UI188" s="4"/>
      <c r="UJ188" s="4"/>
      <c r="UK188" s="4"/>
      <c r="UL188" s="4"/>
      <c r="UM188" s="4"/>
      <c r="UN188" s="4"/>
      <c r="UO188" s="4"/>
      <c r="UP188" s="4"/>
      <c r="UQ188" s="4"/>
      <c r="UR188" s="4"/>
      <c r="US188" s="4"/>
      <c r="UT188" s="4"/>
      <c r="UU188" s="4"/>
      <c r="UV188" s="4"/>
      <c r="UW188" s="4"/>
      <c r="UX188" s="4"/>
      <c r="UY188" s="4"/>
      <c r="UZ188" s="4"/>
      <c r="VA188" s="4"/>
      <c r="VB188" s="4"/>
      <c r="VC188" s="4"/>
      <c r="VD188" s="4"/>
      <c r="VE188" s="4"/>
      <c r="VF188" s="4"/>
      <c r="VG188" s="4"/>
      <c r="VH188" s="4"/>
      <c r="VI188" s="4"/>
      <c r="VJ188" s="4"/>
      <c r="VK188" s="4"/>
      <c r="VL188" s="4"/>
      <c r="VM188" s="4"/>
      <c r="VN188" s="4"/>
      <c r="VO188" s="4"/>
      <c r="VP188" s="4"/>
      <c r="VQ188" s="4"/>
      <c r="VR188" s="4"/>
      <c r="VS188" s="4"/>
      <c r="VT188" s="4"/>
      <c r="VU188" s="4"/>
      <c r="VV188" s="4"/>
      <c r="VW188" s="4"/>
      <c r="VX188" s="4"/>
      <c r="VY188" s="4"/>
      <c r="VZ188" s="4"/>
      <c r="WA188" s="4"/>
      <c r="WB188" s="4"/>
      <c r="WC188" s="4"/>
      <c r="WD188" s="4"/>
      <c r="WE188" s="4"/>
      <c r="WF188" s="4"/>
      <c r="WG188" s="4"/>
      <c r="WH188" s="4"/>
      <c r="WI188" s="4"/>
      <c r="WJ188" s="4"/>
      <c r="WK188" s="4"/>
      <c r="WL188" s="4"/>
      <c r="WM188" s="4"/>
      <c r="WN188" s="4"/>
      <c r="WO188" s="4"/>
      <c r="WP188" s="4"/>
      <c r="WQ188" s="4"/>
      <c r="WR188" s="4"/>
      <c r="WS188" s="4"/>
      <c r="WT188" s="4"/>
      <c r="WU188" s="4"/>
      <c r="WV188" s="4"/>
      <c r="WW188" s="4"/>
      <c r="WX188" s="4"/>
      <c r="WY188" s="4"/>
      <c r="WZ188" s="4"/>
      <c r="XA188" s="4"/>
      <c r="XB188" s="4"/>
      <c r="XC188" s="4"/>
      <c r="XD188" s="4"/>
      <c r="XE188" s="4"/>
      <c r="XF188" s="4"/>
      <c r="XG188" s="4"/>
      <c r="XH188" s="4"/>
      <c r="XI188" s="4"/>
      <c r="XJ188" s="4"/>
      <c r="XK188" s="4"/>
      <c r="XL188" s="4"/>
      <c r="XM188" s="4"/>
      <c r="XN188" s="4"/>
      <c r="XO188" s="4"/>
      <c r="XP188" s="4"/>
      <c r="XQ188" s="4"/>
      <c r="XR188" s="4"/>
      <c r="XS188" s="4"/>
      <c r="XT188" s="4"/>
      <c r="XU188" s="4"/>
      <c r="XV188" s="4"/>
      <c r="XW188" s="4"/>
      <c r="XX188" s="4"/>
      <c r="XY188" s="4"/>
      <c r="XZ188" s="4"/>
      <c r="YA188" s="4"/>
      <c r="YB188" s="4"/>
      <c r="YC188" s="4"/>
      <c r="YD188" s="4"/>
      <c r="YE188" s="4"/>
      <c r="YF188" s="4"/>
      <c r="YG188" s="4"/>
      <c r="YH188" s="4"/>
      <c r="YI188" s="4"/>
      <c r="YJ188" s="4"/>
      <c r="YK188" s="4"/>
      <c r="YL188" s="4"/>
      <c r="YM188" s="4"/>
      <c r="YN188" s="4"/>
      <c r="YO188" s="4"/>
      <c r="YP188" s="4"/>
      <c r="YQ188" s="4"/>
      <c r="YR188" s="4"/>
      <c r="YS188" s="4"/>
      <c r="YT188" s="4"/>
      <c r="YU188" s="4"/>
      <c r="YV188" s="4"/>
      <c r="YW188" s="4"/>
      <c r="YX188" s="4"/>
      <c r="YY188" s="4"/>
      <c r="YZ188" s="4"/>
      <c r="ZA188" s="4"/>
      <c r="ZB188" s="4"/>
      <c r="ZC188" s="4"/>
      <c r="ZD188" s="4"/>
      <c r="ZE188" s="4"/>
      <c r="ZF188" s="4"/>
      <c r="ZG188" s="4"/>
      <c r="ZH188" s="4"/>
      <c r="ZI188" s="4"/>
      <c r="ZJ188" s="4"/>
      <c r="ZK188" s="4"/>
      <c r="ZL188" s="4"/>
      <c r="ZM188" s="4"/>
      <c r="ZN188" s="4"/>
      <c r="ZO188" s="4"/>
      <c r="ZP188" s="4"/>
      <c r="ZQ188" s="4"/>
      <c r="ZR188" s="4"/>
      <c r="ZS188" s="4"/>
      <c r="ZT188" s="4"/>
      <c r="ZU188" s="4"/>
      <c r="ZV188" s="4"/>
      <c r="ZW188" s="4"/>
      <c r="ZX188" s="4"/>
      <c r="ZY188" s="4"/>
      <c r="ZZ188" s="4"/>
      <c r="AAA188" s="4"/>
      <c r="AAB188" s="4"/>
      <c r="AAC188" s="4"/>
      <c r="AAD188" s="4"/>
    </row>
    <row r="189" spans="1:706" ht="4.5" customHeight="1" x14ac:dyDescent="0.15">
      <c r="A189" s="72">
        <v>5</v>
      </c>
      <c r="B189" s="4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13"/>
      <c r="DO189" s="13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  <c r="HI189" s="4"/>
      <c r="HJ189" s="4"/>
      <c r="HK189" s="4"/>
      <c r="HL189" s="4"/>
      <c r="HM189" s="4"/>
      <c r="HN189" s="4"/>
      <c r="HO189" s="4"/>
      <c r="HP189" s="4"/>
      <c r="HQ189" s="4"/>
      <c r="HR189" s="4"/>
      <c r="HS189" s="4"/>
      <c r="HT189" s="4"/>
      <c r="HU189" s="4"/>
      <c r="HV189" s="4"/>
      <c r="HW189" s="4"/>
      <c r="HX189" s="4"/>
      <c r="HY189" s="4"/>
      <c r="HZ189" s="4"/>
      <c r="IA189" s="4"/>
      <c r="IB189" s="4"/>
      <c r="IC189" s="4"/>
      <c r="ID189" s="4"/>
      <c r="IE189" s="4"/>
      <c r="IF189" s="4"/>
      <c r="IG189" s="4"/>
      <c r="IH189" s="4"/>
      <c r="II189" s="4"/>
      <c r="IJ189" s="4"/>
      <c r="IK189" s="4"/>
      <c r="IL189" s="4"/>
      <c r="IM189" s="4"/>
      <c r="IN189" s="4"/>
      <c r="IO189" s="4"/>
      <c r="IP189" s="4"/>
      <c r="IQ189" s="4"/>
      <c r="IR189" s="4"/>
      <c r="IS189" s="4"/>
      <c r="IT189" s="4"/>
      <c r="IU189" s="4"/>
      <c r="IV189" s="4"/>
      <c r="IW189" s="4"/>
      <c r="IX189" s="4"/>
      <c r="IY189" s="4"/>
      <c r="IZ189" s="4"/>
      <c r="JA189" s="4"/>
      <c r="JB189" s="4"/>
      <c r="JC189" s="4"/>
      <c r="JD189" s="4"/>
      <c r="JE189" s="4"/>
      <c r="JF189" s="4"/>
      <c r="JG189" s="4"/>
      <c r="JH189" s="4"/>
      <c r="JI189" s="4"/>
      <c r="JJ189" s="4"/>
      <c r="JK189" s="4"/>
      <c r="JL189" s="4"/>
      <c r="JM189" s="4"/>
      <c r="JN189" s="4"/>
      <c r="JO189" s="4"/>
      <c r="JP189" s="4"/>
      <c r="JQ189" s="4"/>
      <c r="JR189" s="4"/>
      <c r="JS189" s="4"/>
      <c r="JT189" s="4"/>
      <c r="JU189" s="4"/>
      <c r="JV189" s="4"/>
      <c r="JW189" s="4"/>
      <c r="JX189" s="4"/>
      <c r="JY189" s="4"/>
      <c r="JZ189" s="4"/>
      <c r="KA189" s="4"/>
      <c r="KB189" s="4"/>
      <c r="KC189" s="4"/>
      <c r="KD189" s="4"/>
      <c r="KE189" s="4"/>
      <c r="KF189" s="4"/>
      <c r="KG189" s="4"/>
      <c r="KH189" s="4"/>
      <c r="KI189" s="4"/>
      <c r="KJ189" s="4"/>
      <c r="KK189" s="4"/>
      <c r="KL189" s="4"/>
      <c r="KM189" s="4"/>
      <c r="KN189" s="4"/>
      <c r="KO189" s="4"/>
      <c r="KP189" s="4"/>
      <c r="KQ189" s="4"/>
      <c r="KR189" s="4"/>
      <c r="KS189" s="4"/>
      <c r="KT189" s="4"/>
      <c r="KU189" s="4"/>
      <c r="KV189" s="4"/>
      <c r="KW189" s="4"/>
      <c r="KX189" s="4"/>
      <c r="KY189" s="4"/>
      <c r="KZ189" s="4"/>
      <c r="LA189" s="4"/>
      <c r="LB189" s="4"/>
      <c r="LC189" s="4"/>
      <c r="LD189" s="4"/>
      <c r="LE189" s="4"/>
      <c r="LF189" s="4"/>
      <c r="LG189" s="4"/>
      <c r="LH189" s="4"/>
      <c r="LI189" s="4"/>
      <c r="LJ189" s="4"/>
      <c r="LK189" s="4"/>
      <c r="LL189" s="4"/>
      <c r="LM189" s="4"/>
      <c r="LN189" s="4"/>
      <c r="LO189" s="4"/>
      <c r="LP189" s="4"/>
      <c r="LQ189" s="4"/>
      <c r="LR189" s="4"/>
      <c r="LS189" s="4"/>
      <c r="LT189" s="4"/>
      <c r="LU189" s="4"/>
      <c r="LV189" s="4"/>
      <c r="LW189" s="4"/>
      <c r="LX189" s="4"/>
      <c r="LY189" s="4"/>
      <c r="LZ189" s="4"/>
      <c r="MA189" s="4"/>
      <c r="MB189" s="4"/>
      <c r="MC189" s="4"/>
      <c r="MD189" s="4"/>
      <c r="ME189" s="4"/>
      <c r="MF189" s="4"/>
      <c r="MG189" s="4"/>
      <c r="MH189" s="4"/>
      <c r="MI189" s="4"/>
      <c r="MJ189" s="4"/>
      <c r="MK189" s="4"/>
      <c r="ML189" s="4"/>
      <c r="MM189" s="4"/>
      <c r="MN189" s="4"/>
      <c r="MO189" s="4"/>
      <c r="MP189" s="4"/>
      <c r="MQ189" s="4"/>
      <c r="MR189" s="4"/>
      <c r="MS189" s="4"/>
      <c r="MT189" s="4"/>
      <c r="MU189" s="4"/>
      <c r="MV189" s="4"/>
      <c r="MW189" s="4"/>
      <c r="MX189" s="4"/>
      <c r="MY189" s="4"/>
      <c r="MZ189" s="4"/>
      <c r="NA189" s="4"/>
      <c r="NB189" s="4"/>
      <c r="NC189" s="4"/>
      <c r="ND189" s="4"/>
      <c r="NE189" s="4"/>
      <c r="NF189" s="4"/>
      <c r="NG189" s="4"/>
      <c r="NH189" s="4"/>
      <c r="NI189" s="4"/>
      <c r="NJ189" s="4"/>
      <c r="NK189" s="4"/>
      <c r="NL189" s="4"/>
      <c r="NM189" s="4"/>
      <c r="NN189" s="4"/>
      <c r="NO189" s="4"/>
      <c r="NP189" s="4"/>
      <c r="NQ189" s="4"/>
      <c r="NR189" s="4"/>
      <c r="NS189" s="4"/>
      <c r="NT189" s="4"/>
      <c r="NU189" s="4"/>
      <c r="NV189" s="4"/>
      <c r="NW189" s="4"/>
      <c r="NX189" s="4"/>
      <c r="NY189" s="4"/>
      <c r="NZ189" s="4"/>
      <c r="OA189" s="4"/>
      <c r="OB189" s="4"/>
      <c r="OC189" s="4"/>
      <c r="OD189" s="4"/>
      <c r="OE189" s="4"/>
      <c r="OF189" s="4"/>
      <c r="OG189" s="4"/>
      <c r="OH189" s="4"/>
      <c r="OI189" s="4"/>
      <c r="OJ189" s="4"/>
      <c r="OK189" s="4"/>
      <c r="OL189" s="4"/>
      <c r="OM189" s="4"/>
      <c r="ON189" s="4"/>
      <c r="OO189" s="4"/>
      <c r="OP189" s="4"/>
      <c r="OQ189" s="4"/>
      <c r="OR189" s="4"/>
      <c r="OS189" s="4"/>
      <c r="OT189" s="4"/>
      <c r="OU189" s="4"/>
      <c r="OV189" s="4"/>
      <c r="OW189" s="4"/>
      <c r="OX189" s="4"/>
      <c r="OY189" s="4"/>
      <c r="OZ189" s="4"/>
      <c r="PA189" s="4"/>
      <c r="PB189" s="4"/>
      <c r="PC189" s="4"/>
      <c r="PD189" s="4"/>
      <c r="PE189" s="4"/>
      <c r="PF189" s="4"/>
      <c r="PG189" s="4"/>
      <c r="PH189" s="4"/>
      <c r="PI189" s="4"/>
      <c r="PJ189" s="4"/>
      <c r="PK189" s="4"/>
      <c r="PL189" s="4"/>
      <c r="PM189" s="4"/>
      <c r="PN189" s="4"/>
      <c r="PO189" s="4"/>
      <c r="PP189" s="4"/>
      <c r="PQ189" s="4"/>
      <c r="PR189" s="4"/>
      <c r="PS189" s="4"/>
      <c r="PT189" s="4"/>
      <c r="PU189" s="4"/>
      <c r="PV189" s="4"/>
      <c r="PW189" s="4"/>
      <c r="PX189" s="4"/>
      <c r="PY189" s="4"/>
      <c r="PZ189" s="4"/>
      <c r="QA189" s="4"/>
      <c r="QB189" s="4"/>
      <c r="QC189" s="4"/>
      <c r="QD189" s="4"/>
      <c r="QE189" s="4"/>
      <c r="QF189" s="4"/>
      <c r="QG189" s="4"/>
      <c r="QH189" s="4"/>
      <c r="QI189" s="4"/>
      <c r="QJ189" s="4"/>
      <c r="QK189" s="4"/>
      <c r="QL189" s="4"/>
      <c r="QM189" s="4"/>
      <c r="QN189" s="4"/>
      <c r="QO189" s="4"/>
      <c r="QP189" s="4"/>
      <c r="QQ189" s="4"/>
      <c r="QR189" s="4"/>
      <c r="QS189" s="4"/>
      <c r="QT189" s="4"/>
      <c r="QU189" s="4"/>
      <c r="QV189" s="4"/>
      <c r="QW189" s="4"/>
      <c r="QX189" s="4"/>
      <c r="QY189" s="4"/>
      <c r="QZ189" s="4"/>
      <c r="RA189" s="4"/>
      <c r="RB189" s="4"/>
      <c r="RC189" s="4"/>
      <c r="RD189" s="4"/>
      <c r="RE189" s="4"/>
      <c r="RF189" s="4"/>
      <c r="RG189" s="4"/>
      <c r="RH189" s="4"/>
      <c r="RI189" s="4"/>
      <c r="RJ189" s="4"/>
      <c r="RK189" s="4"/>
      <c r="RL189" s="4"/>
      <c r="RM189" s="4"/>
      <c r="RN189" s="4"/>
      <c r="RO189" s="4"/>
      <c r="RP189" s="4"/>
      <c r="RQ189" s="4"/>
      <c r="RR189" s="4"/>
      <c r="RS189" s="4"/>
      <c r="RT189" s="4"/>
      <c r="RU189" s="4"/>
      <c r="RV189" s="4"/>
      <c r="RW189" s="4"/>
      <c r="RX189" s="4"/>
      <c r="RY189" s="4"/>
      <c r="RZ189" s="4"/>
      <c r="SA189" s="4"/>
      <c r="SB189" s="4"/>
      <c r="SC189" s="4"/>
      <c r="SD189" s="4"/>
      <c r="SE189" s="4"/>
      <c r="SF189" s="4"/>
      <c r="SG189" s="4"/>
      <c r="SH189" s="4"/>
      <c r="SI189" s="4"/>
      <c r="SJ189" s="4"/>
      <c r="SK189" s="4"/>
      <c r="SL189" s="4"/>
      <c r="SM189" s="4"/>
      <c r="SN189" s="4"/>
      <c r="SO189" s="4"/>
      <c r="SP189" s="4"/>
      <c r="SQ189" s="4"/>
      <c r="SR189" s="4"/>
      <c r="SS189" s="4"/>
      <c r="ST189" s="4"/>
      <c r="SU189" s="4"/>
      <c r="SV189" s="4"/>
      <c r="SW189" s="4"/>
      <c r="SX189" s="4"/>
      <c r="SY189" s="4"/>
      <c r="SZ189" s="4"/>
      <c r="TA189" s="4"/>
      <c r="TB189" s="4"/>
      <c r="TC189" s="4"/>
      <c r="TD189" s="4"/>
      <c r="TE189" s="4"/>
      <c r="TF189" s="4"/>
      <c r="TG189" s="4"/>
      <c r="TH189" s="4"/>
      <c r="TI189" s="4"/>
      <c r="TJ189" s="4"/>
      <c r="TK189" s="4"/>
      <c r="TL189" s="4"/>
      <c r="TM189" s="4"/>
      <c r="TN189" s="4"/>
      <c r="TO189" s="4"/>
      <c r="TP189" s="4"/>
      <c r="TQ189" s="4"/>
      <c r="TR189" s="4"/>
      <c r="TS189" s="4"/>
      <c r="TT189" s="4"/>
      <c r="TU189" s="4"/>
      <c r="TV189" s="4"/>
      <c r="TW189" s="4"/>
      <c r="TX189" s="4"/>
      <c r="TY189" s="4"/>
      <c r="TZ189" s="4"/>
      <c r="UA189" s="4"/>
      <c r="UB189" s="4"/>
      <c r="UC189" s="4"/>
      <c r="UD189" s="4"/>
      <c r="UE189" s="4"/>
      <c r="UF189" s="4"/>
      <c r="UG189" s="4"/>
      <c r="UH189" s="4"/>
      <c r="UI189" s="4"/>
      <c r="UJ189" s="4"/>
      <c r="UK189" s="4"/>
      <c r="UL189" s="4"/>
      <c r="UM189" s="4"/>
      <c r="UN189" s="4"/>
      <c r="UO189" s="4"/>
      <c r="UP189" s="4"/>
      <c r="UQ189" s="4"/>
      <c r="UR189" s="4"/>
      <c r="US189" s="4"/>
      <c r="UT189" s="4"/>
      <c r="UU189" s="4"/>
      <c r="UV189" s="4"/>
      <c r="UW189" s="4"/>
      <c r="UX189" s="4"/>
      <c r="UY189" s="4"/>
      <c r="UZ189" s="4"/>
      <c r="VA189" s="4"/>
      <c r="VB189" s="4"/>
      <c r="VC189" s="4"/>
      <c r="VD189" s="4"/>
      <c r="VE189" s="4"/>
      <c r="VF189" s="4"/>
      <c r="VG189" s="4"/>
      <c r="VH189" s="4"/>
      <c r="VI189" s="4"/>
      <c r="VJ189" s="4"/>
      <c r="VK189" s="4"/>
      <c r="VL189" s="4"/>
      <c r="VM189" s="4"/>
      <c r="VN189" s="4"/>
      <c r="VO189" s="4"/>
      <c r="VP189" s="4"/>
      <c r="VQ189" s="4"/>
      <c r="VR189" s="4"/>
      <c r="VS189" s="4"/>
      <c r="VT189" s="4"/>
      <c r="VU189" s="4"/>
      <c r="VV189" s="4"/>
      <c r="VW189" s="4"/>
      <c r="VX189" s="4"/>
      <c r="VY189" s="4"/>
      <c r="VZ189" s="4"/>
      <c r="WA189" s="4"/>
      <c r="WB189" s="4"/>
      <c r="WC189" s="4"/>
      <c r="WD189" s="4"/>
      <c r="WE189" s="4"/>
      <c r="WF189" s="4"/>
      <c r="WG189" s="4"/>
      <c r="WH189" s="4"/>
      <c r="WI189" s="4"/>
      <c r="WJ189" s="4"/>
      <c r="WK189" s="4"/>
      <c r="WL189" s="4"/>
      <c r="WM189" s="4"/>
      <c r="WN189" s="4"/>
      <c r="WO189" s="4"/>
      <c r="WP189" s="4"/>
      <c r="WQ189" s="4"/>
      <c r="WR189" s="4"/>
      <c r="WS189" s="4"/>
      <c r="WT189" s="4"/>
      <c r="WU189" s="4"/>
      <c r="WV189" s="4"/>
      <c r="WW189" s="4"/>
      <c r="WX189" s="4"/>
      <c r="WY189" s="4"/>
      <c r="WZ189" s="4"/>
      <c r="XA189" s="4"/>
      <c r="XB189" s="4"/>
      <c r="XC189" s="4"/>
      <c r="XD189" s="4"/>
      <c r="XE189" s="4"/>
      <c r="XF189" s="4"/>
      <c r="XG189" s="4"/>
      <c r="XH189" s="4"/>
      <c r="XI189" s="4"/>
      <c r="XJ189" s="4"/>
      <c r="XK189" s="4"/>
      <c r="XL189" s="4"/>
      <c r="XM189" s="4"/>
      <c r="XN189" s="4"/>
      <c r="XO189" s="4"/>
      <c r="XP189" s="4"/>
      <c r="XQ189" s="4"/>
      <c r="XR189" s="4"/>
      <c r="XS189" s="4"/>
      <c r="XT189" s="4"/>
      <c r="XU189" s="4"/>
      <c r="XV189" s="4"/>
      <c r="XW189" s="4"/>
      <c r="XX189" s="4"/>
      <c r="XY189" s="4"/>
      <c r="XZ189" s="4"/>
      <c r="YA189" s="4"/>
      <c r="YB189" s="4"/>
      <c r="YC189" s="4"/>
      <c r="YD189" s="4"/>
      <c r="YE189" s="4"/>
      <c r="YF189" s="4"/>
      <c r="YG189" s="4"/>
      <c r="YH189" s="4"/>
      <c r="YI189" s="4"/>
      <c r="YJ189" s="4"/>
      <c r="YK189" s="4"/>
      <c r="YL189" s="4"/>
      <c r="YM189" s="4"/>
      <c r="YN189" s="4"/>
      <c r="YO189" s="4"/>
      <c r="YP189" s="4"/>
      <c r="YQ189" s="4"/>
      <c r="YR189" s="4"/>
      <c r="YS189" s="4"/>
      <c r="YT189" s="4"/>
      <c r="YU189" s="4"/>
      <c r="YV189" s="4"/>
      <c r="YW189" s="4"/>
      <c r="YX189" s="4"/>
      <c r="YY189" s="4"/>
      <c r="YZ189" s="4"/>
      <c r="ZA189" s="4"/>
      <c r="ZB189" s="4"/>
      <c r="ZC189" s="4"/>
      <c r="ZD189" s="4"/>
      <c r="ZE189" s="4"/>
      <c r="ZF189" s="4"/>
      <c r="ZG189" s="4"/>
      <c r="ZH189" s="4"/>
      <c r="ZI189" s="4"/>
      <c r="ZJ189" s="4"/>
      <c r="ZK189" s="4"/>
      <c r="ZL189" s="4"/>
      <c r="ZM189" s="4"/>
      <c r="ZN189" s="4"/>
      <c r="ZO189" s="4"/>
      <c r="ZP189" s="4"/>
      <c r="ZQ189" s="4"/>
      <c r="ZR189" s="4"/>
      <c r="ZS189" s="4"/>
      <c r="ZT189" s="4"/>
      <c r="ZU189" s="4"/>
      <c r="ZV189" s="4"/>
      <c r="ZW189" s="4"/>
      <c r="ZX189" s="4"/>
      <c r="ZY189" s="4"/>
      <c r="ZZ189" s="4"/>
      <c r="AAA189" s="4"/>
      <c r="AAB189" s="4"/>
      <c r="AAC189" s="4"/>
      <c r="AAD189" s="4"/>
    </row>
    <row r="190" spans="1:706" ht="4.5" customHeight="1" x14ac:dyDescent="0.15">
      <c r="A190" s="67"/>
      <c r="C190" s="22"/>
      <c r="D190" s="58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  <c r="BC190" s="59"/>
      <c r="BD190" s="59"/>
      <c r="BE190" s="59"/>
      <c r="BF190" s="59"/>
      <c r="BG190" s="59"/>
      <c r="BH190" s="59"/>
      <c r="BI190" s="59"/>
      <c r="BJ190" s="59"/>
      <c r="BK190" s="59"/>
      <c r="BL190" s="59"/>
      <c r="BM190" s="59"/>
      <c r="BN190" s="59"/>
      <c r="BO190" s="59"/>
      <c r="BP190" s="59"/>
      <c r="BQ190" s="59"/>
      <c r="BR190" s="59"/>
      <c r="BS190" s="59"/>
      <c r="BT190" s="59"/>
      <c r="BU190" s="59"/>
      <c r="BV190" s="59"/>
      <c r="BW190" s="59"/>
      <c r="BX190" s="59"/>
      <c r="BY190" s="59"/>
      <c r="BZ190" s="59"/>
      <c r="CA190" s="59"/>
      <c r="CB190" s="59"/>
      <c r="CC190" s="59"/>
      <c r="CD190" s="59"/>
      <c r="CE190" s="59"/>
      <c r="CF190" s="59"/>
      <c r="CG190" s="59"/>
      <c r="CH190" s="59"/>
      <c r="CI190" s="59"/>
      <c r="CJ190" s="59"/>
      <c r="CK190" s="59"/>
      <c r="CL190" s="59"/>
      <c r="CM190" s="59"/>
      <c r="CN190" s="59"/>
      <c r="CO190" s="59"/>
      <c r="CP190" s="59"/>
      <c r="CQ190" s="59"/>
      <c r="CR190" s="59"/>
      <c r="CS190" s="59"/>
      <c r="CT190" s="59"/>
      <c r="CU190" s="59"/>
      <c r="CV190" s="59"/>
      <c r="CW190" s="59"/>
      <c r="CX190" s="59"/>
      <c r="CY190" s="59"/>
      <c r="CZ190" s="59"/>
      <c r="DA190" s="59"/>
      <c r="DB190" s="59"/>
      <c r="DC190" s="59"/>
      <c r="DD190" s="59"/>
      <c r="DE190" s="59"/>
      <c r="DF190" s="59"/>
      <c r="DG190" s="59"/>
      <c r="DH190" s="59"/>
      <c r="DI190" s="59"/>
      <c r="DJ190" s="59"/>
      <c r="DK190" s="59"/>
      <c r="DL190" s="60"/>
      <c r="DM190" s="22"/>
      <c r="DN190" s="13"/>
      <c r="DO190" s="24"/>
    </row>
    <row r="191" spans="1:706" ht="12.75" customHeight="1" x14ac:dyDescent="0.15">
      <c r="A191" s="67"/>
      <c r="C191" s="22"/>
      <c r="D191" s="61"/>
      <c r="E191" s="181" t="s">
        <v>41</v>
      </c>
      <c r="F191" s="106"/>
      <c r="G191" s="106"/>
      <c r="H191" s="106"/>
      <c r="I191" s="106"/>
      <c r="J191" s="166"/>
      <c r="K191" s="165" t="s">
        <v>42</v>
      </c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  <c r="AH191" s="106"/>
      <c r="AI191" s="106"/>
      <c r="AJ191" s="106"/>
      <c r="AK191" s="106"/>
      <c r="AL191" s="106"/>
      <c r="AM191" s="106"/>
      <c r="AN191" s="106"/>
      <c r="AO191" s="106"/>
      <c r="AP191" s="106"/>
      <c r="AQ191" s="106"/>
      <c r="AR191" s="106"/>
      <c r="AS191" s="106"/>
      <c r="AT191" s="106"/>
      <c r="AU191" s="106"/>
      <c r="AV191" s="106"/>
      <c r="AW191" s="106"/>
      <c r="AX191" s="106"/>
      <c r="AY191" s="106"/>
      <c r="AZ191" s="106"/>
      <c r="BA191" s="106"/>
      <c r="BB191" s="106"/>
      <c r="BC191" s="106"/>
      <c r="BD191" s="166"/>
      <c r="BE191" s="172" t="s">
        <v>43</v>
      </c>
      <c r="BF191" s="106"/>
      <c r="BG191" s="106"/>
      <c r="BH191" s="106"/>
      <c r="BI191" s="106"/>
      <c r="BJ191" s="166"/>
      <c r="BK191" s="172" t="s">
        <v>37</v>
      </c>
      <c r="BL191" s="106"/>
      <c r="BM191" s="106"/>
      <c r="BN191" s="106"/>
      <c r="BO191" s="106"/>
      <c r="BP191" s="106"/>
      <c r="BQ191" s="106"/>
      <c r="BR191" s="106"/>
      <c r="BS191" s="106"/>
      <c r="BT191" s="106"/>
      <c r="BU191" s="106"/>
      <c r="BV191" s="106"/>
      <c r="BW191" s="106"/>
      <c r="BX191" s="106"/>
      <c r="BY191" s="106"/>
      <c r="BZ191" s="106"/>
      <c r="CA191" s="106"/>
      <c r="CB191" s="106"/>
      <c r="CC191" s="106"/>
      <c r="CD191" s="106"/>
      <c r="CE191" s="106"/>
      <c r="CF191" s="106"/>
      <c r="CG191" s="106"/>
      <c r="CH191" s="106"/>
      <c r="CI191" s="106"/>
      <c r="CJ191" s="106"/>
      <c r="CK191" s="166"/>
      <c r="CL191" s="165" t="s">
        <v>44</v>
      </c>
      <c r="CM191" s="106"/>
      <c r="CN191" s="106"/>
      <c r="CO191" s="106"/>
      <c r="CP191" s="106"/>
      <c r="CQ191" s="106"/>
      <c r="CR191" s="106"/>
      <c r="CS191" s="106"/>
      <c r="CT191" s="106"/>
      <c r="CU191" s="106"/>
      <c r="CV191" s="106"/>
      <c r="CW191" s="166"/>
      <c r="CX191" s="165" t="s">
        <v>45</v>
      </c>
      <c r="CY191" s="106"/>
      <c r="CZ191" s="106"/>
      <c r="DA191" s="106"/>
      <c r="DB191" s="106"/>
      <c r="DC191" s="106"/>
      <c r="DD191" s="106"/>
      <c r="DE191" s="166"/>
      <c r="DF191" s="165" t="s">
        <v>46</v>
      </c>
      <c r="DG191" s="106"/>
      <c r="DH191" s="106"/>
      <c r="DI191" s="106"/>
      <c r="DJ191" s="106"/>
      <c r="DK191" s="167"/>
      <c r="DL191" s="62"/>
      <c r="DM191" s="22"/>
    </row>
    <row r="192" spans="1:706" ht="12.75" customHeight="1" x14ac:dyDescent="0.15">
      <c r="A192" s="67"/>
      <c r="C192" s="22"/>
      <c r="D192" s="61"/>
      <c r="E192" s="182" t="s">
        <v>47</v>
      </c>
      <c r="F192" s="106"/>
      <c r="G192" s="106"/>
      <c r="H192" s="106"/>
      <c r="I192" s="106"/>
      <c r="J192" s="166"/>
      <c r="K192" s="221" t="s">
        <v>48</v>
      </c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  <c r="AE192" s="106"/>
      <c r="AF192" s="106"/>
      <c r="AG192" s="106"/>
      <c r="AH192" s="106"/>
      <c r="AI192" s="106"/>
      <c r="AJ192" s="106"/>
      <c r="AK192" s="106"/>
      <c r="AL192" s="106"/>
      <c r="AM192" s="106"/>
      <c r="AN192" s="106"/>
      <c r="AO192" s="106"/>
      <c r="AP192" s="106"/>
      <c r="AQ192" s="106"/>
      <c r="AR192" s="106"/>
      <c r="AS192" s="106"/>
      <c r="AT192" s="106"/>
      <c r="AU192" s="106"/>
      <c r="AV192" s="106"/>
      <c r="AW192" s="106"/>
      <c r="AX192" s="106"/>
      <c r="AY192" s="106"/>
      <c r="AZ192" s="106"/>
      <c r="BA192" s="106"/>
      <c r="BB192" s="106"/>
      <c r="BC192" s="106"/>
      <c r="BD192" s="166"/>
      <c r="BE192" s="222" t="s">
        <v>47</v>
      </c>
      <c r="BF192" s="106"/>
      <c r="BG192" s="106"/>
      <c r="BH192" s="106"/>
      <c r="BI192" s="106"/>
      <c r="BJ192" s="166"/>
      <c r="BK192" s="173" t="s">
        <v>49</v>
      </c>
      <c r="BL192" s="106"/>
      <c r="BM192" s="106"/>
      <c r="BN192" s="106"/>
      <c r="BO192" s="106"/>
      <c r="BP192" s="106"/>
      <c r="BQ192" s="106"/>
      <c r="BR192" s="106"/>
      <c r="BS192" s="106"/>
      <c r="BT192" s="106"/>
      <c r="BU192" s="106"/>
      <c r="BV192" s="106"/>
      <c r="BW192" s="106"/>
      <c r="BX192" s="106"/>
      <c r="BY192" s="106"/>
      <c r="BZ192" s="106"/>
      <c r="CA192" s="106"/>
      <c r="CB192" s="106"/>
      <c r="CC192" s="106"/>
      <c r="CD192" s="106"/>
      <c r="CE192" s="106"/>
      <c r="CF192" s="106"/>
      <c r="CG192" s="106"/>
      <c r="CH192" s="106"/>
      <c r="CI192" s="106"/>
      <c r="CJ192" s="106"/>
      <c r="CK192" s="166"/>
      <c r="CL192" s="174" t="s">
        <v>50</v>
      </c>
      <c r="CM192" s="106"/>
      <c r="CN192" s="106"/>
      <c r="CO192" s="106"/>
      <c r="CP192" s="106"/>
      <c r="CQ192" s="106"/>
      <c r="CR192" s="106"/>
      <c r="CS192" s="106"/>
      <c r="CT192" s="106"/>
      <c r="CU192" s="106"/>
      <c r="CV192" s="106"/>
      <c r="CW192" s="166"/>
      <c r="CX192" s="165" t="s">
        <v>51</v>
      </c>
      <c r="CY192" s="106"/>
      <c r="CZ192" s="106"/>
      <c r="DA192" s="106"/>
      <c r="DB192" s="106"/>
      <c r="DC192" s="106"/>
      <c r="DD192" s="106"/>
      <c r="DE192" s="166"/>
      <c r="DF192" s="165" t="s">
        <v>51</v>
      </c>
      <c r="DG192" s="106"/>
      <c r="DH192" s="106"/>
      <c r="DI192" s="106"/>
      <c r="DJ192" s="106"/>
      <c r="DK192" s="167"/>
      <c r="DL192" s="62"/>
      <c r="DM192" s="22"/>
    </row>
    <row r="193" spans="1:117" ht="1.5" customHeight="1" x14ac:dyDescent="0.15">
      <c r="A193" s="67">
        <v>5</v>
      </c>
      <c r="C193" s="22"/>
      <c r="D193" s="61"/>
      <c r="E193" s="68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69"/>
      <c r="AJ193" s="69"/>
      <c r="AK193" s="69"/>
      <c r="AL193" s="69"/>
      <c r="AM193" s="69"/>
      <c r="AN193" s="69"/>
      <c r="AO193" s="69"/>
      <c r="AP193" s="69"/>
      <c r="AQ193" s="69"/>
      <c r="AR193" s="69"/>
      <c r="AS193" s="69"/>
      <c r="AT193" s="69"/>
      <c r="AU193" s="69"/>
      <c r="AV193" s="69"/>
      <c r="AW193" s="69"/>
      <c r="AX193" s="69"/>
      <c r="AY193" s="69"/>
      <c r="AZ193" s="69"/>
      <c r="BA193" s="69"/>
      <c r="BB193" s="69"/>
      <c r="BC193" s="69"/>
      <c r="BD193" s="69"/>
      <c r="BE193" s="69"/>
      <c r="BF193" s="69"/>
      <c r="BG193" s="69"/>
      <c r="BH193" s="69"/>
      <c r="BI193" s="69"/>
      <c r="BJ193" s="69"/>
      <c r="BK193" s="69"/>
      <c r="BL193" s="69"/>
      <c r="BM193" s="69"/>
      <c r="BN193" s="69"/>
      <c r="BO193" s="69"/>
      <c r="BP193" s="69"/>
      <c r="BQ193" s="69"/>
      <c r="BR193" s="69"/>
      <c r="BS193" s="69"/>
      <c r="BT193" s="69"/>
      <c r="BU193" s="69"/>
      <c r="BV193" s="69"/>
      <c r="BW193" s="69"/>
      <c r="BX193" s="69"/>
      <c r="BY193" s="69"/>
      <c r="BZ193" s="69"/>
      <c r="CA193" s="69"/>
      <c r="CB193" s="69"/>
      <c r="CC193" s="69"/>
      <c r="CD193" s="69"/>
      <c r="CE193" s="69"/>
      <c r="CF193" s="69"/>
      <c r="CG193" s="69"/>
      <c r="CH193" s="69"/>
      <c r="CI193" s="69"/>
      <c r="CJ193" s="69"/>
      <c r="CK193" s="69"/>
      <c r="CL193" s="69"/>
      <c r="CM193" s="69"/>
      <c r="CN193" s="69"/>
      <c r="CO193" s="69"/>
      <c r="CP193" s="69"/>
      <c r="CQ193" s="69"/>
      <c r="CR193" s="69"/>
      <c r="CS193" s="69"/>
      <c r="CT193" s="69"/>
      <c r="CU193" s="69"/>
      <c r="CV193" s="69"/>
      <c r="CW193" s="69"/>
      <c r="CX193" s="69"/>
      <c r="CY193" s="69"/>
      <c r="CZ193" s="69"/>
      <c r="DA193" s="69"/>
      <c r="DB193" s="69"/>
      <c r="DC193" s="69"/>
      <c r="DD193" s="69"/>
      <c r="DE193" s="69"/>
      <c r="DF193" s="69"/>
      <c r="DG193" s="69"/>
      <c r="DH193" s="69"/>
      <c r="DI193" s="69"/>
      <c r="DJ193" s="69"/>
      <c r="DK193" s="70"/>
      <c r="DL193" s="62"/>
      <c r="DM193" s="22"/>
    </row>
    <row r="194" spans="1:117" ht="24" customHeight="1" x14ac:dyDescent="0.15">
      <c r="A194" s="67">
        <v>32</v>
      </c>
      <c r="C194" s="22"/>
      <c r="D194" s="61"/>
      <c r="E194" s="178" t="s">
        <v>92</v>
      </c>
      <c r="F194" s="152"/>
      <c r="G194" s="152"/>
      <c r="H194" s="152"/>
      <c r="I194" s="152"/>
      <c r="J194" s="153"/>
      <c r="K194" s="175" t="s">
        <v>93</v>
      </c>
      <c r="L194" s="160"/>
      <c r="M194" s="160"/>
      <c r="N194" s="160"/>
      <c r="O194" s="185"/>
      <c r="P194" s="160"/>
      <c r="Q194" s="160"/>
      <c r="R194" s="160"/>
      <c r="S194" s="160"/>
      <c r="T194" s="160"/>
      <c r="U194" s="160"/>
      <c r="V194" s="160"/>
      <c r="W194" s="160"/>
      <c r="X194" s="160"/>
      <c r="Y194" s="160"/>
      <c r="Z194" s="160"/>
      <c r="AA194" s="160"/>
      <c r="AB194" s="160"/>
      <c r="AC194" s="160"/>
      <c r="AD194" s="160"/>
      <c r="AE194" s="160"/>
      <c r="AF194" s="160"/>
      <c r="AG194" s="160"/>
      <c r="AH194" s="160"/>
      <c r="AI194" s="160"/>
      <c r="AJ194" s="160"/>
      <c r="AK194" s="160"/>
      <c r="AL194" s="160"/>
      <c r="AM194" s="160"/>
      <c r="AN194" s="160"/>
      <c r="AO194" s="160"/>
      <c r="AP194" s="160"/>
      <c r="AQ194" s="160"/>
      <c r="AR194" s="160"/>
      <c r="AS194" s="160"/>
      <c r="AT194" s="160"/>
      <c r="AU194" s="160"/>
      <c r="AV194" s="160"/>
      <c r="AW194" s="160"/>
      <c r="AX194" s="160"/>
      <c r="AY194" s="160"/>
      <c r="AZ194" s="160"/>
      <c r="BA194" s="160"/>
      <c r="BB194" s="160"/>
      <c r="BC194" s="160"/>
      <c r="BD194" s="161"/>
      <c r="BE194" s="163"/>
      <c r="BF194" s="160"/>
      <c r="BG194" s="160"/>
      <c r="BH194" s="160"/>
      <c r="BI194" s="160"/>
      <c r="BJ194" s="161"/>
      <c r="BK194" s="151"/>
      <c r="BL194" s="152"/>
      <c r="BM194" s="152"/>
      <c r="BN194" s="152"/>
      <c r="BO194" s="152"/>
      <c r="BP194" s="152"/>
      <c r="BQ194" s="152"/>
      <c r="BR194" s="152"/>
      <c r="BS194" s="152"/>
      <c r="BT194" s="152"/>
      <c r="BU194" s="152"/>
      <c r="BV194" s="152"/>
      <c r="BW194" s="152"/>
      <c r="BX194" s="152"/>
      <c r="BY194" s="152"/>
      <c r="BZ194" s="152"/>
      <c r="CA194" s="152"/>
      <c r="CB194" s="152"/>
      <c r="CC194" s="152"/>
      <c r="CD194" s="152"/>
      <c r="CE194" s="152"/>
      <c r="CF194" s="152"/>
      <c r="CG194" s="152"/>
      <c r="CH194" s="152"/>
      <c r="CI194" s="152"/>
      <c r="CJ194" s="152"/>
      <c r="CK194" s="153"/>
      <c r="CL194" s="159"/>
      <c r="CM194" s="160"/>
      <c r="CN194" s="160"/>
      <c r="CO194" s="160"/>
      <c r="CP194" s="160"/>
      <c r="CQ194" s="160"/>
      <c r="CR194" s="160"/>
      <c r="CS194" s="160"/>
      <c r="CT194" s="160"/>
      <c r="CU194" s="160"/>
      <c r="CV194" s="160"/>
      <c r="CW194" s="161"/>
      <c r="CX194" s="162"/>
      <c r="CY194" s="160"/>
      <c r="CZ194" s="160"/>
      <c r="DA194" s="160"/>
      <c r="DB194" s="160"/>
      <c r="DC194" s="160"/>
      <c r="DD194" s="160"/>
      <c r="DE194" s="161"/>
      <c r="DF194" s="163"/>
      <c r="DG194" s="160"/>
      <c r="DH194" s="160"/>
      <c r="DI194" s="160"/>
      <c r="DJ194" s="160"/>
      <c r="DK194" s="164"/>
      <c r="DL194" s="62"/>
      <c r="DM194" s="22"/>
    </row>
    <row r="195" spans="1:117" ht="24" customHeight="1" x14ac:dyDescent="0.15">
      <c r="A195" s="67">
        <v>32</v>
      </c>
      <c r="C195" s="22"/>
      <c r="D195" s="61"/>
      <c r="E195" s="179"/>
      <c r="F195" s="118"/>
      <c r="G195" s="118"/>
      <c r="H195" s="118"/>
      <c r="I195" s="118"/>
      <c r="J195" s="155"/>
      <c r="K195" s="176" t="s">
        <v>94</v>
      </c>
      <c r="L195" s="136"/>
      <c r="M195" s="136"/>
      <c r="N195" s="136"/>
      <c r="O195" s="183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6"/>
      <c r="AH195" s="136"/>
      <c r="AI195" s="136"/>
      <c r="AJ195" s="136"/>
      <c r="AK195" s="136"/>
      <c r="AL195" s="136"/>
      <c r="AM195" s="136"/>
      <c r="AN195" s="136"/>
      <c r="AO195" s="136"/>
      <c r="AP195" s="136"/>
      <c r="AQ195" s="136"/>
      <c r="AR195" s="136"/>
      <c r="AS195" s="136"/>
      <c r="AT195" s="136"/>
      <c r="AU195" s="136"/>
      <c r="AV195" s="136"/>
      <c r="AW195" s="136"/>
      <c r="AX195" s="136"/>
      <c r="AY195" s="136"/>
      <c r="AZ195" s="136"/>
      <c r="BA195" s="136"/>
      <c r="BB195" s="136"/>
      <c r="BC195" s="136"/>
      <c r="BD195" s="137"/>
      <c r="BE195" s="168"/>
      <c r="BF195" s="136"/>
      <c r="BG195" s="136"/>
      <c r="BH195" s="136"/>
      <c r="BI195" s="136"/>
      <c r="BJ195" s="137"/>
      <c r="BK195" s="154"/>
      <c r="BL195" s="118"/>
      <c r="BM195" s="118"/>
      <c r="BN195" s="118"/>
      <c r="BO195" s="118"/>
      <c r="BP195" s="118"/>
      <c r="BQ195" s="118"/>
      <c r="BR195" s="118"/>
      <c r="BS195" s="118"/>
      <c r="BT195" s="118"/>
      <c r="BU195" s="118"/>
      <c r="BV195" s="118"/>
      <c r="BW195" s="118"/>
      <c r="BX195" s="118"/>
      <c r="BY195" s="118"/>
      <c r="BZ195" s="118"/>
      <c r="CA195" s="118"/>
      <c r="CB195" s="118"/>
      <c r="CC195" s="118"/>
      <c r="CD195" s="118"/>
      <c r="CE195" s="118"/>
      <c r="CF195" s="118"/>
      <c r="CG195" s="118"/>
      <c r="CH195" s="118"/>
      <c r="CI195" s="118"/>
      <c r="CJ195" s="118"/>
      <c r="CK195" s="155"/>
      <c r="CL195" s="149"/>
      <c r="CM195" s="136"/>
      <c r="CN195" s="136"/>
      <c r="CO195" s="136"/>
      <c r="CP195" s="136"/>
      <c r="CQ195" s="136"/>
      <c r="CR195" s="136"/>
      <c r="CS195" s="136"/>
      <c r="CT195" s="136"/>
      <c r="CU195" s="136"/>
      <c r="CV195" s="136"/>
      <c r="CW195" s="137"/>
      <c r="CX195" s="150"/>
      <c r="CY195" s="136"/>
      <c r="CZ195" s="136"/>
      <c r="DA195" s="136"/>
      <c r="DB195" s="136"/>
      <c r="DC195" s="136"/>
      <c r="DD195" s="136"/>
      <c r="DE195" s="137"/>
      <c r="DF195" s="168"/>
      <c r="DG195" s="136"/>
      <c r="DH195" s="136"/>
      <c r="DI195" s="136"/>
      <c r="DJ195" s="136"/>
      <c r="DK195" s="169"/>
      <c r="DL195" s="62"/>
      <c r="DM195" s="22"/>
    </row>
    <row r="196" spans="1:117" ht="24" customHeight="1" x14ac:dyDescent="0.15">
      <c r="A196" s="67">
        <v>32</v>
      </c>
      <c r="C196" s="22"/>
      <c r="D196" s="61"/>
      <c r="E196" s="180"/>
      <c r="F196" s="157"/>
      <c r="G196" s="157"/>
      <c r="H196" s="157"/>
      <c r="I196" s="157"/>
      <c r="J196" s="158"/>
      <c r="K196" s="177" t="s">
        <v>95</v>
      </c>
      <c r="L196" s="146"/>
      <c r="M196" s="146"/>
      <c r="N196" s="146"/>
      <c r="O196" s="184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  <c r="AA196" s="146"/>
      <c r="AB196" s="146"/>
      <c r="AC196" s="146"/>
      <c r="AD196" s="146"/>
      <c r="AE196" s="146"/>
      <c r="AF196" s="146"/>
      <c r="AG196" s="146"/>
      <c r="AH196" s="146"/>
      <c r="AI196" s="146"/>
      <c r="AJ196" s="146"/>
      <c r="AK196" s="146"/>
      <c r="AL196" s="146"/>
      <c r="AM196" s="146"/>
      <c r="AN196" s="146"/>
      <c r="AO196" s="146"/>
      <c r="AP196" s="146"/>
      <c r="AQ196" s="146"/>
      <c r="AR196" s="146"/>
      <c r="AS196" s="146"/>
      <c r="AT196" s="146"/>
      <c r="AU196" s="146"/>
      <c r="AV196" s="146"/>
      <c r="AW196" s="146"/>
      <c r="AX196" s="146"/>
      <c r="AY196" s="146"/>
      <c r="AZ196" s="146"/>
      <c r="BA196" s="146"/>
      <c r="BB196" s="146"/>
      <c r="BC196" s="146"/>
      <c r="BD196" s="147"/>
      <c r="BE196" s="170"/>
      <c r="BF196" s="146"/>
      <c r="BG196" s="146"/>
      <c r="BH196" s="146"/>
      <c r="BI196" s="146"/>
      <c r="BJ196" s="147"/>
      <c r="BK196" s="156"/>
      <c r="BL196" s="157"/>
      <c r="BM196" s="157"/>
      <c r="BN196" s="157"/>
      <c r="BO196" s="157"/>
      <c r="BP196" s="157"/>
      <c r="BQ196" s="157"/>
      <c r="BR196" s="157"/>
      <c r="BS196" s="157"/>
      <c r="BT196" s="157"/>
      <c r="BU196" s="157"/>
      <c r="BV196" s="157"/>
      <c r="BW196" s="157"/>
      <c r="BX196" s="157"/>
      <c r="BY196" s="157"/>
      <c r="BZ196" s="157"/>
      <c r="CA196" s="157"/>
      <c r="CB196" s="157"/>
      <c r="CC196" s="157"/>
      <c r="CD196" s="157"/>
      <c r="CE196" s="157"/>
      <c r="CF196" s="157"/>
      <c r="CG196" s="157"/>
      <c r="CH196" s="157"/>
      <c r="CI196" s="157"/>
      <c r="CJ196" s="157"/>
      <c r="CK196" s="158"/>
      <c r="CL196" s="145"/>
      <c r="CM196" s="146"/>
      <c r="CN196" s="146"/>
      <c r="CO196" s="146"/>
      <c r="CP196" s="146"/>
      <c r="CQ196" s="146"/>
      <c r="CR196" s="146"/>
      <c r="CS196" s="146"/>
      <c r="CT196" s="146"/>
      <c r="CU196" s="146"/>
      <c r="CV196" s="146"/>
      <c r="CW196" s="147"/>
      <c r="CX196" s="148"/>
      <c r="CY196" s="146"/>
      <c r="CZ196" s="146"/>
      <c r="DA196" s="146"/>
      <c r="DB196" s="146"/>
      <c r="DC196" s="146"/>
      <c r="DD196" s="146"/>
      <c r="DE196" s="147"/>
      <c r="DF196" s="170"/>
      <c r="DG196" s="146"/>
      <c r="DH196" s="146"/>
      <c r="DI196" s="146"/>
      <c r="DJ196" s="146"/>
      <c r="DK196" s="171"/>
      <c r="DL196" s="62"/>
      <c r="DM196" s="22"/>
    </row>
    <row r="197" spans="1:117" ht="24" customHeight="1" x14ac:dyDescent="0.15">
      <c r="A197" s="67">
        <v>32</v>
      </c>
      <c r="C197" s="22"/>
      <c r="D197" s="61"/>
      <c r="E197" s="178" t="s">
        <v>96</v>
      </c>
      <c r="F197" s="152"/>
      <c r="G197" s="152"/>
      <c r="H197" s="152"/>
      <c r="I197" s="152"/>
      <c r="J197" s="153"/>
      <c r="K197" s="175" t="s">
        <v>97</v>
      </c>
      <c r="L197" s="160"/>
      <c r="M197" s="160"/>
      <c r="N197" s="160"/>
      <c r="O197" s="185"/>
      <c r="P197" s="160"/>
      <c r="Q197" s="160"/>
      <c r="R197" s="160"/>
      <c r="S197" s="160"/>
      <c r="T197" s="160"/>
      <c r="U197" s="160"/>
      <c r="V197" s="160"/>
      <c r="W197" s="160"/>
      <c r="X197" s="160"/>
      <c r="Y197" s="160"/>
      <c r="Z197" s="160"/>
      <c r="AA197" s="160"/>
      <c r="AB197" s="160"/>
      <c r="AC197" s="160"/>
      <c r="AD197" s="160"/>
      <c r="AE197" s="160"/>
      <c r="AF197" s="160"/>
      <c r="AG197" s="160"/>
      <c r="AH197" s="160"/>
      <c r="AI197" s="160"/>
      <c r="AJ197" s="160"/>
      <c r="AK197" s="160"/>
      <c r="AL197" s="160"/>
      <c r="AM197" s="160"/>
      <c r="AN197" s="160"/>
      <c r="AO197" s="160"/>
      <c r="AP197" s="160"/>
      <c r="AQ197" s="160"/>
      <c r="AR197" s="160"/>
      <c r="AS197" s="160"/>
      <c r="AT197" s="160"/>
      <c r="AU197" s="160"/>
      <c r="AV197" s="160"/>
      <c r="AW197" s="160"/>
      <c r="AX197" s="160"/>
      <c r="AY197" s="160"/>
      <c r="AZ197" s="160"/>
      <c r="BA197" s="160"/>
      <c r="BB197" s="160"/>
      <c r="BC197" s="160"/>
      <c r="BD197" s="161"/>
      <c r="BE197" s="163"/>
      <c r="BF197" s="160"/>
      <c r="BG197" s="160"/>
      <c r="BH197" s="160"/>
      <c r="BI197" s="160"/>
      <c r="BJ197" s="161"/>
      <c r="BK197" s="151"/>
      <c r="BL197" s="152"/>
      <c r="BM197" s="152"/>
      <c r="BN197" s="152"/>
      <c r="BO197" s="152"/>
      <c r="BP197" s="152"/>
      <c r="BQ197" s="152"/>
      <c r="BR197" s="152"/>
      <c r="BS197" s="152"/>
      <c r="BT197" s="152"/>
      <c r="BU197" s="152"/>
      <c r="BV197" s="152"/>
      <c r="BW197" s="152"/>
      <c r="BX197" s="152"/>
      <c r="BY197" s="152"/>
      <c r="BZ197" s="152"/>
      <c r="CA197" s="152"/>
      <c r="CB197" s="152"/>
      <c r="CC197" s="152"/>
      <c r="CD197" s="152"/>
      <c r="CE197" s="152"/>
      <c r="CF197" s="152"/>
      <c r="CG197" s="152"/>
      <c r="CH197" s="152"/>
      <c r="CI197" s="152"/>
      <c r="CJ197" s="152"/>
      <c r="CK197" s="153"/>
      <c r="CL197" s="159"/>
      <c r="CM197" s="160"/>
      <c r="CN197" s="160"/>
      <c r="CO197" s="160"/>
      <c r="CP197" s="160"/>
      <c r="CQ197" s="160"/>
      <c r="CR197" s="160"/>
      <c r="CS197" s="160"/>
      <c r="CT197" s="160"/>
      <c r="CU197" s="160"/>
      <c r="CV197" s="160"/>
      <c r="CW197" s="161"/>
      <c r="CX197" s="162"/>
      <c r="CY197" s="160"/>
      <c r="CZ197" s="160"/>
      <c r="DA197" s="160"/>
      <c r="DB197" s="160"/>
      <c r="DC197" s="160"/>
      <c r="DD197" s="160"/>
      <c r="DE197" s="161"/>
      <c r="DF197" s="163"/>
      <c r="DG197" s="160"/>
      <c r="DH197" s="160"/>
      <c r="DI197" s="160"/>
      <c r="DJ197" s="160"/>
      <c r="DK197" s="164"/>
      <c r="DL197" s="62"/>
      <c r="DM197" s="22"/>
    </row>
    <row r="198" spans="1:117" ht="24" customHeight="1" x14ac:dyDescent="0.15">
      <c r="A198" s="67">
        <v>32</v>
      </c>
      <c r="C198" s="22"/>
      <c r="D198" s="61"/>
      <c r="E198" s="179"/>
      <c r="F198" s="118"/>
      <c r="G198" s="118"/>
      <c r="H198" s="118"/>
      <c r="I198" s="118"/>
      <c r="J198" s="155"/>
      <c r="K198" s="176" t="s">
        <v>98</v>
      </c>
      <c r="L198" s="136"/>
      <c r="M198" s="136"/>
      <c r="N198" s="136"/>
      <c r="O198" s="183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6"/>
      <c r="AH198" s="136"/>
      <c r="AI198" s="136"/>
      <c r="AJ198" s="136"/>
      <c r="AK198" s="136"/>
      <c r="AL198" s="136"/>
      <c r="AM198" s="136"/>
      <c r="AN198" s="136"/>
      <c r="AO198" s="136"/>
      <c r="AP198" s="136"/>
      <c r="AQ198" s="136"/>
      <c r="AR198" s="136"/>
      <c r="AS198" s="136"/>
      <c r="AT198" s="136"/>
      <c r="AU198" s="136"/>
      <c r="AV198" s="136"/>
      <c r="AW198" s="136"/>
      <c r="AX198" s="136"/>
      <c r="AY198" s="136"/>
      <c r="AZ198" s="136"/>
      <c r="BA198" s="136"/>
      <c r="BB198" s="136"/>
      <c r="BC198" s="136"/>
      <c r="BD198" s="137"/>
      <c r="BE198" s="168"/>
      <c r="BF198" s="136"/>
      <c r="BG198" s="136"/>
      <c r="BH198" s="136"/>
      <c r="BI198" s="136"/>
      <c r="BJ198" s="137"/>
      <c r="BK198" s="154"/>
      <c r="BL198" s="118"/>
      <c r="BM198" s="118"/>
      <c r="BN198" s="118"/>
      <c r="BO198" s="118"/>
      <c r="BP198" s="118"/>
      <c r="BQ198" s="118"/>
      <c r="BR198" s="118"/>
      <c r="BS198" s="118"/>
      <c r="BT198" s="118"/>
      <c r="BU198" s="118"/>
      <c r="BV198" s="118"/>
      <c r="BW198" s="118"/>
      <c r="BX198" s="118"/>
      <c r="BY198" s="118"/>
      <c r="BZ198" s="118"/>
      <c r="CA198" s="118"/>
      <c r="CB198" s="118"/>
      <c r="CC198" s="118"/>
      <c r="CD198" s="118"/>
      <c r="CE198" s="118"/>
      <c r="CF198" s="118"/>
      <c r="CG198" s="118"/>
      <c r="CH198" s="118"/>
      <c r="CI198" s="118"/>
      <c r="CJ198" s="118"/>
      <c r="CK198" s="155"/>
      <c r="CL198" s="149"/>
      <c r="CM198" s="136"/>
      <c r="CN198" s="136"/>
      <c r="CO198" s="136"/>
      <c r="CP198" s="136"/>
      <c r="CQ198" s="136"/>
      <c r="CR198" s="136"/>
      <c r="CS198" s="136"/>
      <c r="CT198" s="136"/>
      <c r="CU198" s="136"/>
      <c r="CV198" s="136"/>
      <c r="CW198" s="137"/>
      <c r="CX198" s="150"/>
      <c r="CY198" s="136"/>
      <c r="CZ198" s="136"/>
      <c r="DA198" s="136"/>
      <c r="DB198" s="136"/>
      <c r="DC198" s="136"/>
      <c r="DD198" s="136"/>
      <c r="DE198" s="137"/>
      <c r="DF198" s="168"/>
      <c r="DG198" s="136"/>
      <c r="DH198" s="136"/>
      <c r="DI198" s="136"/>
      <c r="DJ198" s="136"/>
      <c r="DK198" s="169"/>
      <c r="DL198" s="62"/>
      <c r="DM198" s="22"/>
    </row>
    <row r="199" spans="1:117" ht="24" customHeight="1" x14ac:dyDescent="0.15">
      <c r="A199" s="67">
        <v>32</v>
      </c>
      <c r="C199" s="22"/>
      <c r="D199" s="61"/>
      <c r="E199" s="180"/>
      <c r="F199" s="157"/>
      <c r="G199" s="157"/>
      <c r="H199" s="157"/>
      <c r="I199" s="157"/>
      <c r="J199" s="158"/>
      <c r="K199" s="177" t="s">
        <v>99</v>
      </c>
      <c r="L199" s="146"/>
      <c r="M199" s="146"/>
      <c r="N199" s="146"/>
      <c r="O199" s="184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  <c r="AA199" s="146"/>
      <c r="AB199" s="146"/>
      <c r="AC199" s="146"/>
      <c r="AD199" s="146"/>
      <c r="AE199" s="146"/>
      <c r="AF199" s="146"/>
      <c r="AG199" s="146"/>
      <c r="AH199" s="146"/>
      <c r="AI199" s="146"/>
      <c r="AJ199" s="146"/>
      <c r="AK199" s="146"/>
      <c r="AL199" s="146"/>
      <c r="AM199" s="146"/>
      <c r="AN199" s="146"/>
      <c r="AO199" s="146"/>
      <c r="AP199" s="146"/>
      <c r="AQ199" s="146"/>
      <c r="AR199" s="146"/>
      <c r="AS199" s="146"/>
      <c r="AT199" s="146"/>
      <c r="AU199" s="146"/>
      <c r="AV199" s="146"/>
      <c r="AW199" s="146"/>
      <c r="AX199" s="146"/>
      <c r="AY199" s="146"/>
      <c r="AZ199" s="146"/>
      <c r="BA199" s="146"/>
      <c r="BB199" s="146"/>
      <c r="BC199" s="146"/>
      <c r="BD199" s="147"/>
      <c r="BE199" s="170"/>
      <c r="BF199" s="146"/>
      <c r="BG199" s="146"/>
      <c r="BH199" s="146"/>
      <c r="BI199" s="146"/>
      <c r="BJ199" s="147"/>
      <c r="BK199" s="156"/>
      <c r="BL199" s="157"/>
      <c r="BM199" s="157"/>
      <c r="BN199" s="157"/>
      <c r="BO199" s="157"/>
      <c r="BP199" s="157"/>
      <c r="BQ199" s="157"/>
      <c r="BR199" s="157"/>
      <c r="BS199" s="157"/>
      <c r="BT199" s="157"/>
      <c r="BU199" s="157"/>
      <c r="BV199" s="157"/>
      <c r="BW199" s="157"/>
      <c r="BX199" s="157"/>
      <c r="BY199" s="157"/>
      <c r="BZ199" s="157"/>
      <c r="CA199" s="157"/>
      <c r="CB199" s="157"/>
      <c r="CC199" s="157"/>
      <c r="CD199" s="157"/>
      <c r="CE199" s="157"/>
      <c r="CF199" s="157"/>
      <c r="CG199" s="157"/>
      <c r="CH199" s="157"/>
      <c r="CI199" s="157"/>
      <c r="CJ199" s="157"/>
      <c r="CK199" s="158"/>
      <c r="CL199" s="145"/>
      <c r="CM199" s="146"/>
      <c r="CN199" s="146"/>
      <c r="CO199" s="146"/>
      <c r="CP199" s="146"/>
      <c r="CQ199" s="146"/>
      <c r="CR199" s="146"/>
      <c r="CS199" s="146"/>
      <c r="CT199" s="146"/>
      <c r="CU199" s="146"/>
      <c r="CV199" s="146"/>
      <c r="CW199" s="147"/>
      <c r="CX199" s="148"/>
      <c r="CY199" s="146"/>
      <c r="CZ199" s="146"/>
      <c r="DA199" s="146"/>
      <c r="DB199" s="146"/>
      <c r="DC199" s="146"/>
      <c r="DD199" s="146"/>
      <c r="DE199" s="147"/>
      <c r="DF199" s="170"/>
      <c r="DG199" s="146"/>
      <c r="DH199" s="146"/>
      <c r="DI199" s="146"/>
      <c r="DJ199" s="146"/>
      <c r="DK199" s="171"/>
      <c r="DL199" s="62"/>
      <c r="DM199" s="22"/>
    </row>
    <row r="200" spans="1:117" ht="24" customHeight="1" x14ac:dyDescent="0.15">
      <c r="A200" s="67">
        <v>32</v>
      </c>
      <c r="C200" s="22"/>
      <c r="D200" s="61"/>
      <c r="E200" s="178" t="s">
        <v>100</v>
      </c>
      <c r="F200" s="152"/>
      <c r="G200" s="152"/>
      <c r="H200" s="152"/>
      <c r="I200" s="152"/>
      <c r="J200" s="153"/>
      <c r="K200" s="175" t="s">
        <v>101</v>
      </c>
      <c r="L200" s="160"/>
      <c r="M200" s="160"/>
      <c r="N200" s="160"/>
      <c r="O200" s="185"/>
      <c r="P200" s="160"/>
      <c r="Q200" s="160"/>
      <c r="R200" s="160"/>
      <c r="S200" s="160"/>
      <c r="T200" s="160"/>
      <c r="U200" s="160"/>
      <c r="V200" s="160"/>
      <c r="W200" s="160"/>
      <c r="X200" s="160"/>
      <c r="Y200" s="160"/>
      <c r="Z200" s="160"/>
      <c r="AA200" s="160"/>
      <c r="AB200" s="160"/>
      <c r="AC200" s="160"/>
      <c r="AD200" s="160"/>
      <c r="AE200" s="160"/>
      <c r="AF200" s="160"/>
      <c r="AG200" s="160"/>
      <c r="AH200" s="160"/>
      <c r="AI200" s="160"/>
      <c r="AJ200" s="160"/>
      <c r="AK200" s="160"/>
      <c r="AL200" s="160"/>
      <c r="AM200" s="160"/>
      <c r="AN200" s="160"/>
      <c r="AO200" s="160"/>
      <c r="AP200" s="160"/>
      <c r="AQ200" s="160"/>
      <c r="AR200" s="160"/>
      <c r="AS200" s="160"/>
      <c r="AT200" s="160"/>
      <c r="AU200" s="160"/>
      <c r="AV200" s="160"/>
      <c r="AW200" s="160"/>
      <c r="AX200" s="160"/>
      <c r="AY200" s="160"/>
      <c r="AZ200" s="160"/>
      <c r="BA200" s="160"/>
      <c r="BB200" s="160"/>
      <c r="BC200" s="160"/>
      <c r="BD200" s="161"/>
      <c r="BE200" s="163"/>
      <c r="BF200" s="160"/>
      <c r="BG200" s="160"/>
      <c r="BH200" s="160"/>
      <c r="BI200" s="160"/>
      <c r="BJ200" s="161"/>
      <c r="BK200" s="151"/>
      <c r="BL200" s="152"/>
      <c r="BM200" s="152"/>
      <c r="BN200" s="152"/>
      <c r="BO200" s="152"/>
      <c r="BP200" s="152"/>
      <c r="BQ200" s="152"/>
      <c r="BR200" s="152"/>
      <c r="BS200" s="152"/>
      <c r="BT200" s="152"/>
      <c r="BU200" s="152"/>
      <c r="BV200" s="152"/>
      <c r="BW200" s="152"/>
      <c r="BX200" s="152"/>
      <c r="BY200" s="152"/>
      <c r="BZ200" s="152"/>
      <c r="CA200" s="152"/>
      <c r="CB200" s="152"/>
      <c r="CC200" s="152"/>
      <c r="CD200" s="152"/>
      <c r="CE200" s="152"/>
      <c r="CF200" s="152"/>
      <c r="CG200" s="152"/>
      <c r="CH200" s="152"/>
      <c r="CI200" s="152"/>
      <c r="CJ200" s="152"/>
      <c r="CK200" s="153"/>
      <c r="CL200" s="159"/>
      <c r="CM200" s="160"/>
      <c r="CN200" s="160"/>
      <c r="CO200" s="160"/>
      <c r="CP200" s="160"/>
      <c r="CQ200" s="160"/>
      <c r="CR200" s="160"/>
      <c r="CS200" s="160"/>
      <c r="CT200" s="160"/>
      <c r="CU200" s="160"/>
      <c r="CV200" s="160"/>
      <c r="CW200" s="161"/>
      <c r="CX200" s="162"/>
      <c r="CY200" s="160"/>
      <c r="CZ200" s="160"/>
      <c r="DA200" s="160"/>
      <c r="DB200" s="160"/>
      <c r="DC200" s="160"/>
      <c r="DD200" s="160"/>
      <c r="DE200" s="161"/>
      <c r="DF200" s="163"/>
      <c r="DG200" s="160"/>
      <c r="DH200" s="160"/>
      <c r="DI200" s="160"/>
      <c r="DJ200" s="160"/>
      <c r="DK200" s="164"/>
      <c r="DL200" s="62"/>
      <c r="DM200" s="22"/>
    </row>
    <row r="201" spans="1:117" ht="24" customHeight="1" x14ac:dyDescent="0.15">
      <c r="A201" s="67">
        <v>32</v>
      </c>
      <c r="C201" s="22"/>
      <c r="D201" s="61"/>
      <c r="E201" s="179"/>
      <c r="F201" s="118"/>
      <c r="G201" s="118"/>
      <c r="H201" s="118"/>
      <c r="I201" s="118"/>
      <c r="J201" s="155"/>
      <c r="K201" s="176" t="s">
        <v>102</v>
      </c>
      <c r="L201" s="136"/>
      <c r="M201" s="136"/>
      <c r="N201" s="136"/>
      <c r="O201" s="183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6"/>
      <c r="AH201" s="136"/>
      <c r="AI201" s="136"/>
      <c r="AJ201" s="136"/>
      <c r="AK201" s="136"/>
      <c r="AL201" s="136"/>
      <c r="AM201" s="136"/>
      <c r="AN201" s="136"/>
      <c r="AO201" s="136"/>
      <c r="AP201" s="136"/>
      <c r="AQ201" s="136"/>
      <c r="AR201" s="136"/>
      <c r="AS201" s="136"/>
      <c r="AT201" s="136"/>
      <c r="AU201" s="136"/>
      <c r="AV201" s="136"/>
      <c r="AW201" s="136"/>
      <c r="AX201" s="136"/>
      <c r="AY201" s="136"/>
      <c r="AZ201" s="136"/>
      <c r="BA201" s="136"/>
      <c r="BB201" s="136"/>
      <c r="BC201" s="136"/>
      <c r="BD201" s="137"/>
      <c r="BE201" s="168"/>
      <c r="BF201" s="136"/>
      <c r="BG201" s="136"/>
      <c r="BH201" s="136"/>
      <c r="BI201" s="136"/>
      <c r="BJ201" s="137"/>
      <c r="BK201" s="154"/>
      <c r="BL201" s="118"/>
      <c r="BM201" s="118"/>
      <c r="BN201" s="118"/>
      <c r="BO201" s="118"/>
      <c r="BP201" s="118"/>
      <c r="BQ201" s="118"/>
      <c r="BR201" s="118"/>
      <c r="BS201" s="118"/>
      <c r="BT201" s="118"/>
      <c r="BU201" s="118"/>
      <c r="BV201" s="118"/>
      <c r="BW201" s="118"/>
      <c r="BX201" s="118"/>
      <c r="BY201" s="118"/>
      <c r="BZ201" s="118"/>
      <c r="CA201" s="118"/>
      <c r="CB201" s="118"/>
      <c r="CC201" s="118"/>
      <c r="CD201" s="118"/>
      <c r="CE201" s="118"/>
      <c r="CF201" s="118"/>
      <c r="CG201" s="118"/>
      <c r="CH201" s="118"/>
      <c r="CI201" s="118"/>
      <c r="CJ201" s="118"/>
      <c r="CK201" s="155"/>
      <c r="CL201" s="149"/>
      <c r="CM201" s="136"/>
      <c r="CN201" s="136"/>
      <c r="CO201" s="136"/>
      <c r="CP201" s="136"/>
      <c r="CQ201" s="136"/>
      <c r="CR201" s="136"/>
      <c r="CS201" s="136"/>
      <c r="CT201" s="136"/>
      <c r="CU201" s="136"/>
      <c r="CV201" s="136"/>
      <c r="CW201" s="137"/>
      <c r="CX201" s="150"/>
      <c r="CY201" s="136"/>
      <c r="CZ201" s="136"/>
      <c r="DA201" s="136"/>
      <c r="DB201" s="136"/>
      <c r="DC201" s="136"/>
      <c r="DD201" s="136"/>
      <c r="DE201" s="137"/>
      <c r="DF201" s="168"/>
      <c r="DG201" s="136"/>
      <c r="DH201" s="136"/>
      <c r="DI201" s="136"/>
      <c r="DJ201" s="136"/>
      <c r="DK201" s="169"/>
      <c r="DL201" s="62"/>
      <c r="DM201" s="22"/>
    </row>
    <row r="202" spans="1:117" ht="24" customHeight="1" x14ac:dyDescent="0.15">
      <c r="A202" s="67">
        <v>32</v>
      </c>
      <c r="C202" s="22"/>
      <c r="D202" s="61"/>
      <c r="E202" s="180"/>
      <c r="F202" s="157"/>
      <c r="G202" s="157"/>
      <c r="H202" s="157"/>
      <c r="I202" s="157"/>
      <c r="J202" s="158"/>
      <c r="K202" s="177" t="s">
        <v>103</v>
      </c>
      <c r="L202" s="146"/>
      <c r="M202" s="146"/>
      <c r="N202" s="146"/>
      <c r="O202" s="184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  <c r="AA202" s="146"/>
      <c r="AB202" s="146"/>
      <c r="AC202" s="146"/>
      <c r="AD202" s="146"/>
      <c r="AE202" s="146"/>
      <c r="AF202" s="146"/>
      <c r="AG202" s="146"/>
      <c r="AH202" s="146"/>
      <c r="AI202" s="146"/>
      <c r="AJ202" s="146"/>
      <c r="AK202" s="146"/>
      <c r="AL202" s="146"/>
      <c r="AM202" s="146"/>
      <c r="AN202" s="146"/>
      <c r="AO202" s="146"/>
      <c r="AP202" s="146"/>
      <c r="AQ202" s="146"/>
      <c r="AR202" s="146"/>
      <c r="AS202" s="146"/>
      <c r="AT202" s="146"/>
      <c r="AU202" s="146"/>
      <c r="AV202" s="146"/>
      <c r="AW202" s="146"/>
      <c r="AX202" s="146"/>
      <c r="AY202" s="146"/>
      <c r="AZ202" s="146"/>
      <c r="BA202" s="146"/>
      <c r="BB202" s="146"/>
      <c r="BC202" s="146"/>
      <c r="BD202" s="147"/>
      <c r="BE202" s="170"/>
      <c r="BF202" s="146"/>
      <c r="BG202" s="146"/>
      <c r="BH202" s="146"/>
      <c r="BI202" s="146"/>
      <c r="BJ202" s="147"/>
      <c r="BK202" s="156"/>
      <c r="BL202" s="157"/>
      <c r="BM202" s="157"/>
      <c r="BN202" s="157"/>
      <c r="BO202" s="157"/>
      <c r="BP202" s="157"/>
      <c r="BQ202" s="157"/>
      <c r="BR202" s="157"/>
      <c r="BS202" s="157"/>
      <c r="BT202" s="157"/>
      <c r="BU202" s="157"/>
      <c r="BV202" s="157"/>
      <c r="BW202" s="157"/>
      <c r="BX202" s="157"/>
      <c r="BY202" s="157"/>
      <c r="BZ202" s="157"/>
      <c r="CA202" s="157"/>
      <c r="CB202" s="157"/>
      <c r="CC202" s="157"/>
      <c r="CD202" s="157"/>
      <c r="CE202" s="157"/>
      <c r="CF202" s="157"/>
      <c r="CG202" s="157"/>
      <c r="CH202" s="157"/>
      <c r="CI202" s="157"/>
      <c r="CJ202" s="157"/>
      <c r="CK202" s="158"/>
      <c r="CL202" s="145"/>
      <c r="CM202" s="146"/>
      <c r="CN202" s="146"/>
      <c r="CO202" s="146"/>
      <c r="CP202" s="146"/>
      <c r="CQ202" s="146"/>
      <c r="CR202" s="146"/>
      <c r="CS202" s="146"/>
      <c r="CT202" s="146"/>
      <c r="CU202" s="146"/>
      <c r="CV202" s="146"/>
      <c r="CW202" s="147"/>
      <c r="CX202" s="148"/>
      <c r="CY202" s="146"/>
      <c r="CZ202" s="146"/>
      <c r="DA202" s="146"/>
      <c r="DB202" s="146"/>
      <c r="DC202" s="146"/>
      <c r="DD202" s="146"/>
      <c r="DE202" s="147"/>
      <c r="DF202" s="170"/>
      <c r="DG202" s="146"/>
      <c r="DH202" s="146"/>
      <c r="DI202" s="146"/>
      <c r="DJ202" s="146"/>
      <c r="DK202" s="171"/>
      <c r="DL202" s="62"/>
      <c r="DM202" s="22"/>
    </row>
    <row r="203" spans="1:117" ht="24" customHeight="1" x14ac:dyDescent="0.15">
      <c r="A203" s="67">
        <v>32</v>
      </c>
      <c r="C203" s="22"/>
      <c r="D203" s="61"/>
      <c r="E203" s="178" t="s">
        <v>104</v>
      </c>
      <c r="F203" s="152"/>
      <c r="G203" s="152"/>
      <c r="H203" s="152"/>
      <c r="I203" s="152"/>
      <c r="J203" s="153"/>
      <c r="K203" s="175" t="s">
        <v>105</v>
      </c>
      <c r="L203" s="160"/>
      <c r="M203" s="160"/>
      <c r="N203" s="160"/>
      <c r="O203" s="185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  <c r="AA203" s="160"/>
      <c r="AB203" s="160"/>
      <c r="AC203" s="160"/>
      <c r="AD203" s="160"/>
      <c r="AE203" s="160"/>
      <c r="AF203" s="160"/>
      <c r="AG203" s="160"/>
      <c r="AH203" s="160"/>
      <c r="AI203" s="160"/>
      <c r="AJ203" s="160"/>
      <c r="AK203" s="160"/>
      <c r="AL203" s="160"/>
      <c r="AM203" s="160"/>
      <c r="AN203" s="160"/>
      <c r="AO203" s="160"/>
      <c r="AP203" s="160"/>
      <c r="AQ203" s="160"/>
      <c r="AR203" s="160"/>
      <c r="AS203" s="160"/>
      <c r="AT203" s="160"/>
      <c r="AU203" s="160"/>
      <c r="AV203" s="160"/>
      <c r="AW203" s="160"/>
      <c r="AX203" s="160"/>
      <c r="AY203" s="160"/>
      <c r="AZ203" s="160"/>
      <c r="BA203" s="160"/>
      <c r="BB203" s="160"/>
      <c r="BC203" s="160"/>
      <c r="BD203" s="161"/>
      <c r="BE203" s="163"/>
      <c r="BF203" s="160"/>
      <c r="BG203" s="160"/>
      <c r="BH203" s="160"/>
      <c r="BI203" s="160"/>
      <c r="BJ203" s="161"/>
      <c r="BK203" s="151"/>
      <c r="BL203" s="152"/>
      <c r="BM203" s="152"/>
      <c r="BN203" s="152"/>
      <c r="BO203" s="152"/>
      <c r="BP203" s="152"/>
      <c r="BQ203" s="152"/>
      <c r="BR203" s="152"/>
      <c r="BS203" s="152"/>
      <c r="BT203" s="152"/>
      <c r="BU203" s="152"/>
      <c r="BV203" s="152"/>
      <c r="BW203" s="152"/>
      <c r="BX203" s="152"/>
      <c r="BY203" s="152"/>
      <c r="BZ203" s="152"/>
      <c r="CA203" s="152"/>
      <c r="CB203" s="152"/>
      <c r="CC203" s="152"/>
      <c r="CD203" s="152"/>
      <c r="CE203" s="152"/>
      <c r="CF203" s="152"/>
      <c r="CG203" s="152"/>
      <c r="CH203" s="152"/>
      <c r="CI203" s="152"/>
      <c r="CJ203" s="152"/>
      <c r="CK203" s="153"/>
      <c r="CL203" s="159"/>
      <c r="CM203" s="160"/>
      <c r="CN203" s="160"/>
      <c r="CO203" s="160"/>
      <c r="CP203" s="160"/>
      <c r="CQ203" s="160"/>
      <c r="CR203" s="160"/>
      <c r="CS203" s="160"/>
      <c r="CT203" s="160"/>
      <c r="CU203" s="160"/>
      <c r="CV203" s="160"/>
      <c r="CW203" s="161"/>
      <c r="CX203" s="162"/>
      <c r="CY203" s="160"/>
      <c r="CZ203" s="160"/>
      <c r="DA203" s="160"/>
      <c r="DB203" s="160"/>
      <c r="DC203" s="160"/>
      <c r="DD203" s="160"/>
      <c r="DE203" s="161"/>
      <c r="DF203" s="163"/>
      <c r="DG203" s="160"/>
      <c r="DH203" s="160"/>
      <c r="DI203" s="160"/>
      <c r="DJ203" s="160"/>
      <c r="DK203" s="164"/>
      <c r="DL203" s="62"/>
      <c r="DM203" s="22"/>
    </row>
    <row r="204" spans="1:117" ht="24" customHeight="1" x14ac:dyDescent="0.15">
      <c r="A204" s="67">
        <v>32</v>
      </c>
      <c r="C204" s="22"/>
      <c r="D204" s="61"/>
      <c r="E204" s="179"/>
      <c r="F204" s="118"/>
      <c r="G204" s="118"/>
      <c r="H204" s="118"/>
      <c r="I204" s="118"/>
      <c r="J204" s="155"/>
      <c r="K204" s="176" t="s">
        <v>106</v>
      </c>
      <c r="L204" s="136"/>
      <c r="M204" s="136"/>
      <c r="N204" s="136"/>
      <c r="O204" s="183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6"/>
      <c r="AH204" s="136"/>
      <c r="AI204" s="136"/>
      <c r="AJ204" s="136"/>
      <c r="AK204" s="136"/>
      <c r="AL204" s="136"/>
      <c r="AM204" s="136"/>
      <c r="AN204" s="136"/>
      <c r="AO204" s="136"/>
      <c r="AP204" s="136"/>
      <c r="AQ204" s="136"/>
      <c r="AR204" s="136"/>
      <c r="AS204" s="136"/>
      <c r="AT204" s="136"/>
      <c r="AU204" s="136"/>
      <c r="AV204" s="136"/>
      <c r="AW204" s="136"/>
      <c r="AX204" s="136"/>
      <c r="AY204" s="136"/>
      <c r="AZ204" s="136"/>
      <c r="BA204" s="136"/>
      <c r="BB204" s="136"/>
      <c r="BC204" s="136"/>
      <c r="BD204" s="137"/>
      <c r="BE204" s="168"/>
      <c r="BF204" s="136"/>
      <c r="BG204" s="136"/>
      <c r="BH204" s="136"/>
      <c r="BI204" s="136"/>
      <c r="BJ204" s="137"/>
      <c r="BK204" s="154"/>
      <c r="BL204" s="118"/>
      <c r="BM204" s="118"/>
      <c r="BN204" s="118"/>
      <c r="BO204" s="118"/>
      <c r="BP204" s="118"/>
      <c r="BQ204" s="118"/>
      <c r="BR204" s="118"/>
      <c r="BS204" s="118"/>
      <c r="BT204" s="118"/>
      <c r="BU204" s="118"/>
      <c r="BV204" s="118"/>
      <c r="BW204" s="118"/>
      <c r="BX204" s="118"/>
      <c r="BY204" s="118"/>
      <c r="BZ204" s="118"/>
      <c r="CA204" s="118"/>
      <c r="CB204" s="118"/>
      <c r="CC204" s="118"/>
      <c r="CD204" s="118"/>
      <c r="CE204" s="118"/>
      <c r="CF204" s="118"/>
      <c r="CG204" s="118"/>
      <c r="CH204" s="118"/>
      <c r="CI204" s="118"/>
      <c r="CJ204" s="118"/>
      <c r="CK204" s="155"/>
      <c r="CL204" s="149"/>
      <c r="CM204" s="136"/>
      <c r="CN204" s="136"/>
      <c r="CO204" s="136"/>
      <c r="CP204" s="136"/>
      <c r="CQ204" s="136"/>
      <c r="CR204" s="136"/>
      <c r="CS204" s="136"/>
      <c r="CT204" s="136"/>
      <c r="CU204" s="136"/>
      <c r="CV204" s="136"/>
      <c r="CW204" s="137"/>
      <c r="CX204" s="150"/>
      <c r="CY204" s="136"/>
      <c r="CZ204" s="136"/>
      <c r="DA204" s="136"/>
      <c r="DB204" s="136"/>
      <c r="DC204" s="136"/>
      <c r="DD204" s="136"/>
      <c r="DE204" s="137"/>
      <c r="DF204" s="168"/>
      <c r="DG204" s="136"/>
      <c r="DH204" s="136"/>
      <c r="DI204" s="136"/>
      <c r="DJ204" s="136"/>
      <c r="DK204" s="169"/>
      <c r="DL204" s="62"/>
      <c r="DM204" s="22"/>
    </row>
    <row r="205" spans="1:117" ht="24" customHeight="1" x14ac:dyDescent="0.15">
      <c r="A205" s="67">
        <v>32</v>
      </c>
      <c r="C205" s="22"/>
      <c r="D205" s="61"/>
      <c r="E205" s="180"/>
      <c r="F205" s="157"/>
      <c r="G205" s="157"/>
      <c r="H205" s="157"/>
      <c r="I205" s="157"/>
      <c r="J205" s="158"/>
      <c r="K205" s="177" t="s">
        <v>107</v>
      </c>
      <c r="L205" s="146"/>
      <c r="M205" s="146"/>
      <c r="N205" s="146"/>
      <c r="O205" s="184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  <c r="AA205" s="146"/>
      <c r="AB205" s="146"/>
      <c r="AC205" s="146"/>
      <c r="AD205" s="146"/>
      <c r="AE205" s="146"/>
      <c r="AF205" s="146"/>
      <c r="AG205" s="146"/>
      <c r="AH205" s="146"/>
      <c r="AI205" s="146"/>
      <c r="AJ205" s="146"/>
      <c r="AK205" s="146"/>
      <c r="AL205" s="146"/>
      <c r="AM205" s="146"/>
      <c r="AN205" s="146"/>
      <c r="AO205" s="146"/>
      <c r="AP205" s="146"/>
      <c r="AQ205" s="146"/>
      <c r="AR205" s="146"/>
      <c r="AS205" s="146"/>
      <c r="AT205" s="146"/>
      <c r="AU205" s="146"/>
      <c r="AV205" s="146"/>
      <c r="AW205" s="146"/>
      <c r="AX205" s="146"/>
      <c r="AY205" s="146"/>
      <c r="AZ205" s="146"/>
      <c r="BA205" s="146"/>
      <c r="BB205" s="146"/>
      <c r="BC205" s="146"/>
      <c r="BD205" s="147"/>
      <c r="BE205" s="170"/>
      <c r="BF205" s="146"/>
      <c r="BG205" s="146"/>
      <c r="BH205" s="146"/>
      <c r="BI205" s="146"/>
      <c r="BJ205" s="147"/>
      <c r="BK205" s="156"/>
      <c r="BL205" s="157"/>
      <c r="BM205" s="157"/>
      <c r="BN205" s="157"/>
      <c r="BO205" s="157"/>
      <c r="BP205" s="157"/>
      <c r="BQ205" s="157"/>
      <c r="BR205" s="157"/>
      <c r="BS205" s="157"/>
      <c r="BT205" s="157"/>
      <c r="BU205" s="157"/>
      <c r="BV205" s="157"/>
      <c r="BW205" s="157"/>
      <c r="BX205" s="157"/>
      <c r="BY205" s="157"/>
      <c r="BZ205" s="157"/>
      <c r="CA205" s="157"/>
      <c r="CB205" s="157"/>
      <c r="CC205" s="157"/>
      <c r="CD205" s="157"/>
      <c r="CE205" s="157"/>
      <c r="CF205" s="157"/>
      <c r="CG205" s="157"/>
      <c r="CH205" s="157"/>
      <c r="CI205" s="157"/>
      <c r="CJ205" s="157"/>
      <c r="CK205" s="158"/>
      <c r="CL205" s="145"/>
      <c r="CM205" s="146"/>
      <c r="CN205" s="146"/>
      <c r="CO205" s="146"/>
      <c r="CP205" s="146"/>
      <c r="CQ205" s="146"/>
      <c r="CR205" s="146"/>
      <c r="CS205" s="146"/>
      <c r="CT205" s="146"/>
      <c r="CU205" s="146"/>
      <c r="CV205" s="146"/>
      <c r="CW205" s="147"/>
      <c r="CX205" s="148"/>
      <c r="CY205" s="146"/>
      <c r="CZ205" s="146"/>
      <c r="DA205" s="146"/>
      <c r="DB205" s="146"/>
      <c r="DC205" s="146"/>
      <c r="DD205" s="146"/>
      <c r="DE205" s="147"/>
      <c r="DF205" s="170"/>
      <c r="DG205" s="146"/>
      <c r="DH205" s="146"/>
      <c r="DI205" s="146"/>
      <c r="DJ205" s="146"/>
      <c r="DK205" s="171"/>
      <c r="DL205" s="62"/>
      <c r="DM205" s="22"/>
    </row>
    <row r="206" spans="1:117" ht="24" customHeight="1" x14ac:dyDescent="0.15">
      <c r="A206" s="67">
        <v>32</v>
      </c>
      <c r="C206" s="22"/>
      <c r="D206" s="61"/>
      <c r="E206" s="178" t="s">
        <v>108</v>
      </c>
      <c r="F206" s="152"/>
      <c r="G206" s="152"/>
      <c r="H206" s="152"/>
      <c r="I206" s="152"/>
      <c r="J206" s="153"/>
      <c r="K206" s="175" t="s">
        <v>109</v>
      </c>
      <c r="L206" s="160"/>
      <c r="M206" s="160"/>
      <c r="N206" s="160"/>
      <c r="O206" s="185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  <c r="AA206" s="160"/>
      <c r="AB206" s="160"/>
      <c r="AC206" s="160"/>
      <c r="AD206" s="160"/>
      <c r="AE206" s="160"/>
      <c r="AF206" s="160"/>
      <c r="AG206" s="160"/>
      <c r="AH206" s="160"/>
      <c r="AI206" s="160"/>
      <c r="AJ206" s="160"/>
      <c r="AK206" s="160"/>
      <c r="AL206" s="160"/>
      <c r="AM206" s="160"/>
      <c r="AN206" s="160"/>
      <c r="AO206" s="160"/>
      <c r="AP206" s="160"/>
      <c r="AQ206" s="160"/>
      <c r="AR206" s="160"/>
      <c r="AS206" s="160"/>
      <c r="AT206" s="160"/>
      <c r="AU206" s="160"/>
      <c r="AV206" s="160"/>
      <c r="AW206" s="160"/>
      <c r="AX206" s="160"/>
      <c r="AY206" s="160"/>
      <c r="AZ206" s="160"/>
      <c r="BA206" s="160"/>
      <c r="BB206" s="160"/>
      <c r="BC206" s="160"/>
      <c r="BD206" s="161"/>
      <c r="BE206" s="163"/>
      <c r="BF206" s="160"/>
      <c r="BG206" s="160"/>
      <c r="BH206" s="160"/>
      <c r="BI206" s="160"/>
      <c r="BJ206" s="161"/>
      <c r="BK206" s="151"/>
      <c r="BL206" s="152"/>
      <c r="BM206" s="152"/>
      <c r="BN206" s="152"/>
      <c r="BO206" s="152"/>
      <c r="BP206" s="152"/>
      <c r="BQ206" s="152"/>
      <c r="BR206" s="152"/>
      <c r="BS206" s="152"/>
      <c r="BT206" s="152"/>
      <c r="BU206" s="152"/>
      <c r="BV206" s="152"/>
      <c r="BW206" s="152"/>
      <c r="BX206" s="152"/>
      <c r="BY206" s="152"/>
      <c r="BZ206" s="152"/>
      <c r="CA206" s="152"/>
      <c r="CB206" s="152"/>
      <c r="CC206" s="152"/>
      <c r="CD206" s="152"/>
      <c r="CE206" s="152"/>
      <c r="CF206" s="152"/>
      <c r="CG206" s="152"/>
      <c r="CH206" s="152"/>
      <c r="CI206" s="152"/>
      <c r="CJ206" s="152"/>
      <c r="CK206" s="153"/>
      <c r="CL206" s="159"/>
      <c r="CM206" s="160"/>
      <c r="CN206" s="160"/>
      <c r="CO206" s="160"/>
      <c r="CP206" s="160"/>
      <c r="CQ206" s="160"/>
      <c r="CR206" s="160"/>
      <c r="CS206" s="160"/>
      <c r="CT206" s="160"/>
      <c r="CU206" s="160"/>
      <c r="CV206" s="160"/>
      <c r="CW206" s="161"/>
      <c r="CX206" s="162"/>
      <c r="CY206" s="160"/>
      <c r="CZ206" s="160"/>
      <c r="DA206" s="160"/>
      <c r="DB206" s="160"/>
      <c r="DC206" s="160"/>
      <c r="DD206" s="160"/>
      <c r="DE206" s="161"/>
      <c r="DF206" s="163"/>
      <c r="DG206" s="160"/>
      <c r="DH206" s="160"/>
      <c r="DI206" s="160"/>
      <c r="DJ206" s="160"/>
      <c r="DK206" s="164"/>
      <c r="DL206" s="62"/>
      <c r="DM206" s="22"/>
    </row>
    <row r="207" spans="1:117" ht="24" customHeight="1" x14ac:dyDescent="0.15">
      <c r="A207" s="67">
        <v>32</v>
      </c>
      <c r="C207" s="22"/>
      <c r="D207" s="61"/>
      <c r="E207" s="179"/>
      <c r="F207" s="118"/>
      <c r="G207" s="118"/>
      <c r="H207" s="118"/>
      <c r="I207" s="118"/>
      <c r="J207" s="155"/>
      <c r="K207" s="176" t="s">
        <v>110</v>
      </c>
      <c r="L207" s="136"/>
      <c r="M207" s="136"/>
      <c r="N207" s="136"/>
      <c r="O207" s="183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6"/>
      <c r="AH207" s="136"/>
      <c r="AI207" s="136"/>
      <c r="AJ207" s="136"/>
      <c r="AK207" s="136"/>
      <c r="AL207" s="136"/>
      <c r="AM207" s="136"/>
      <c r="AN207" s="136"/>
      <c r="AO207" s="136"/>
      <c r="AP207" s="136"/>
      <c r="AQ207" s="136"/>
      <c r="AR207" s="136"/>
      <c r="AS207" s="136"/>
      <c r="AT207" s="136"/>
      <c r="AU207" s="136"/>
      <c r="AV207" s="136"/>
      <c r="AW207" s="136"/>
      <c r="AX207" s="136"/>
      <c r="AY207" s="136"/>
      <c r="AZ207" s="136"/>
      <c r="BA207" s="136"/>
      <c r="BB207" s="136"/>
      <c r="BC207" s="136"/>
      <c r="BD207" s="137"/>
      <c r="BE207" s="168"/>
      <c r="BF207" s="136"/>
      <c r="BG207" s="136"/>
      <c r="BH207" s="136"/>
      <c r="BI207" s="136"/>
      <c r="BJ207" s="137"/>
      <c r="BK207" s="154"/>
      <c r="BL207" s="118"/>
      <c r="BM207" s="118"/>
      <c r="BN207" s="118"/>
      <c r="BO207" s="118"/>
      <c r="BP207" s="118"/>
      <c r="BQ207" s="118"/>
      <c r="BR207" s="118"/>
      <c r="BS207" s="118"/>
      <c r="BT207" s="118"/>
      <c r="BU207" s="118"/>
      <c r="BV207" s="118"/>
      <c r="BW207" s="118"/>
      <c r="BX207" s="118"/>
      <c r="BY207" s="118"/>
      <c r="BZ207" s="118"/>
      <c r="CA207" s="118"/>
      <c r="CB207" s="118"/>
      <c r="CC207" s="118"/>
      <c r="CD207" s="118"/>
      <c r="CE207" s="118"/>
      <c r="CF207" s="118"/>
      <c r="CG207" s="118"/>
      <c r="CH207" s="118"/>
      <c r="CI207" s="118"/>
      <c r="CJ207" s="118"/>
      <c r="CK207" s="155"/>
      <c r="CL207" s="149"/>
      <c r="CM207" s="136"/>
      <c r="CN207" s="136"/>
      <c r="CO207" s="136"/>
      <c r="CP207" s="136"/>
      <c r="CQ207" s="136"/>
      <c r="CR207" s="136"/>
      <c r="CS207" s="136"/>
      <c r="CT207" s="136"/>
      <c r="CU207" s="136"/>
      <c r="CV207" s="136"/>
      <c r="CW207" s="137"/>
      <c r="CX207" s="150"/>
      <c r="CY207" s="136"/>
      <c r="CZ207" s="136"/>
      <c r="DA207" s="136"/>
      <c r="DB207" s="136"/>
      <c r="DC207" s="136"/>
      <c r="DD207" s="136"/>
      <c r="DE207" s="137"/>
      <c r="DF207" s="168"/>
      <c r="DG207" s="136"/>
      <c r="DH207" s="136"/>
      <c r="DI207" s="136"/>
      <c r="DJ207" s="136"/>
      <c r="DK207" s="169"/>
      <c r="DL207" s="62"/>
      <c r="DM207" s="22"/>
    </row>
    <row r="208" spans="1:117" ht="24" customHeight="1" x14ac:dyDescent="0.15">
      <c r="A208" s="67">
        <v>32</v>
      </c>
      <c r="C208" s="22"/>
      <c r="D208" s="61"/>
      <c r="E208" s="180"/>
      <c r="F208" s="157"/>
      <c r="G208" s="157"/>
      <c r="H208" s="157"/>
      <c r="I208" s="157"/>
      <c r="J208" s="158"/>
      <c r="K208" s="177" t="s">
        <v>111</v>
      </c>
      <c r="L208" s="146"/>
      <c r="M208" s="146"/>
      <c r="N208" s="146"/>
      <c r="O208" s="184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  <c r="AA208" s="146"/>
      <c r="AB208" s="146"/>
      <c r="AC208" s="146"/>
      <c r="AD208" s="146"/>
      <c r="AE208" s="146"/>
      <c r="AF208" s="146"/>
      <c r="AG208" s="146"/>
      <c r="AH208" s="146"/>
      <c r="AI208" s="146"/>
      <c r="AJ208" s="146"/>
      <c r="AK208" s="146"/>
      <c r="AL208" s="146"/>
      <c r="AM208" s="146"/>
      <c r="AN208" s="146"/>
      <c r="AO208" s="146"/>
      <c r="AP208" s="146"/>
      <c r="AQ208" s="146"/>
      <c r="AR208" s="146"/>
      <c r="AS208" s="146"/>
      <c r="AT208" s="146"/>
      <c r="AU208" s="146"/>
      <c r="AV208" s="146"/>
      <c r="AW208" s="146"/>
      <c r="AX208" s="146"/>
      <c r="AY208" s="146"/>
      <c r="AZ208" s="146"/>
      <c r="BA208" s="146"/>
      <c r="BB208" s="146"/>
      <c r="BC208" s="146"/>
      <c r="BD208" s="147"/>
      <c r="BE208" s="170"/>
      <c r="BF208" s="146"/>
      <c r="BG208" s="146"/>
      <c r="BH208" s="146"/>
      <c r="BI208" s="146"/>
      <c r="BJ208" s="147"/>
      <c r="BK208" s="156"/>
      <c r="BL208" s="157"/>
      <c r="BM208" s="157"/>
      <c r="BN208" s="157"/>
      <c r="BO208" s="157"/>
      <c r="BP208" s="157"/>
      <c r="BQ208" s="157"/>
      <c r="BR208" s="157"/>
      <c r="BS208" s="157"/>
      <c r="BT208" s="157"/>
      <c r="BU208" s="157"/>
      <c r="BV208" s="157"/>
      <c r="BW208" s="157"/>
      <c r="BX208" s="157"/>
      <c r="BY208" s="157"/>
      <c r="BZ208" s="157"/>
      <c r="CA208" s="157"/>
      <c r="CB208" s="157"/>
      <c r="CC208" s="157"/>
      <c r="CD208" s="157"/>
      <c r="CE208" s="157"/>
      <c r="CF208" s="157"/>
      <c r="CG208" s="157"/>
      <c r="CH208" s="157"/>
      <c r="CI208" s="157"/>
      <c r="CJ208" s="157"/>
      <c r="CK208" s="158"/>
      <c r="CL208" s="145"/>
      <c r="CM208" s="146"/>
      <c r="CN208" s="146"/>
      <c r="CO208" s="146"/>
      <c r="CP208" s="146"/>
      <c r="CQ208" s="146"/>
      <c r="CR208" s="146"/>
      <c r="CS208" s="146"/>
      <c r="CT208" s="146"/>
      <c r="CU208" s="146"/>
      <c r="CV208" s="146"/>
      <c r="CW208" s="147"/>
      <c r="CX208" s="148"/>
      <c r="CY208" s="146"/>
      <c r="CZ208" s="146"/>
      <c r="DA208" s="146"/>
      <c r="DB208" s="146"/>
      <c r="DC208" s="146"/>
      <c r="DD208" s="146"/>
      <c r="DE208" s="147"/>
      <c r="DF208" s="170"/>
      <c r="DG208" s="146"/>
      <c r="DH208" s="146"/>
      <c r="DI208" s="146"/>
      <c r="DJ208" s="146"/>
      <c r="DK208" s="171"/>
      <c r="DL208" s="62"/>
      <c r="DM208" s="22"/>
    </row>
    <row r="209" spans="1:706" ht="24" customHeight="1" x14ac:dyDescent="0.15">
      <c r="A209" s="67">
        <v>32</v>
      </c>
      <c r="C209" s="22"/>
      <c r="D209" s="61"/>
      <c r="E209" s="178" t="s">
        <v>112</v>
      </c>
      <c r="F209" s="152"/>
      <c r="G209" s="152"/>
      <c r="H209" s="152"/>
      <c r="I209" s="152"/>
      <c r="J209" s="153"/>
      <c r="K209" s="175" t="s">
        <v>113</v>
      </c>
      <c r="L209" s="160"/>
      <c r="M209" s="160"/>
      <c r="N209" s="160"/>
      <c r="O209" s="185"/>
      <c r="P209" s="160"/>
      <c r="Q209" s="160"/>
      <c r="R209" s="160"/>
      <c r="S209" s="160"/>
      <c r="T209" s="160"/>
      <c r="U209" s="160"/>
      <c r="V209" s="160"/>
      <c r="W209" s="160"/>
      <c r="X209" s="160"/>
      <c r="Y209" s="160"/>
      <c r="Z209" s="160"/>
      <c r="AA209" s="160"/>
      <c r="AB209" s="160"/>
      <c r="AC209" s="160"/>
      <c r="AD209" s="160"/>
      <c r="AE209" s="160"/>
      <c r="AF209" s="160"/>
      <c r="AG209" s="160"/>
      <c r="AH209" s="160"/>
      <c r="AI209" s="160"/>
      <c r="AJ209" s="160"/>
      <c r="AK209" s="160"/>
      <c r="AL209" s="160"/>
      <c r="AM209" s="160"/>
      <c r="AN209" s="160"/>
      <c r="AO209" s="160"/>
      <c r="AP209" s="160"/>
      <c r="AQ209" s="160"/>
      <c r="AR209" s="160"/>
      <c r="AS209" s="160"/>
      <c r="AT209" s="160"/>
      <c r="AU209" s="160"/>
      <c r="AV209" s="160"/>
      <c r="AW209" s="160"/>
      <c r="AX209" s="160"/>
      <c r="AY209" s="160"/>
      <c r="AZ209" s="160"/>
      <c r="BA209" s="160"/>
      <c r="BB209" s="160"/>
      <c r="BC209" s="160"/>
      <c r="BD209" s="161"/>
      <c r="BE209" s="163"/>
      <c r="BF209" s="160"/>
      <c r="BG209" s="160"/>
      <c r="BH209" s="160"/>
      <c r="BI209" s="160"/>
      <c r="BJ209" s="161"/>
      <c r="BK209" s="151"/>
      <c r="BL209" s="152"/>
      <c r="BM209" s="152"/>
      <c r="BN209" s="152"/>
      <c r="BO209" s="152"/>
      <c r="BP209" s="152"/>
      <c r="BQ209" s="152"/>
      <c r="BR209" s="152"/>
      <c r="BS209" s="152"/>
      <c r="BT209" s="152"/>
      <c r="BU209" s="152"/>
      <c r="BV209" s="152"/>
      <c r="BW209" s="152"/>
      <c r="BX209" s="152"/>
      <c r="BY209" s="152"/>
      <c r="BZ209" s="152"/>
      <c r="CA209" s="152"/>
      <c r="CB209" s="152"/>
      <c r="CC209" s="152"/>
      <c r="CD209" s="152"/>
      <c r="CE209" s="152"/>
      <c r="CF209" s="152"/>
      <c r="CG209" s="152"/>
      <c r="CH209" s="152"/>
      <c r="CI209" s="152"/>
      <c r="CJ209" s="152"/>
      <c r="CK209" s="153"/>
      <c r="CL209" s="159"/>
      <c r="CM209" s="160"/>
      <c r="CN209" s="160"/>
      <c r="CO209" s="160"/>
      <c r="CP209" s="160"/>
      <c r="CQ209" s="160"/>
      <c r="CR209" s="160"/>
      <c r="CS209" s="160"/>
      <c r="CT209" s="160"/>
      <c r="CU209" s="160"/>
      <c r="CV209" s="160"/>
      <c r="CW209" s="161"/>
      <c r="CX209" s="162"/>
      <c r="CY209" s="160"/>
      <c r="CZ209" s="160"/>
      <c r="DA209" s="160"/>
      <c r="DB209" s="160"/>
      <c r="DC209" s="160"/>
      <c r="DD209" s="160"/>
      <c r="DE209" s="161"/>
      <c r="DF209" s="163"/>
      <c r="DG209" s="160"/>
      <c r="DH209" s="160"/>
      <c r="DI209" s="160"/>
      <c r="DJ209" s="160"/>
      <c r="DK209" s="164"/>
      <c r="DL209" s="62"/>
      <c r="DM209" s="22"/>
    </row>
    <row r="210" spans="1:706" ht="24" customHeight="1" x14ac:dyDescent="0.15">
      <c r="A210" s="67">
        <v>32</v>
      </c>
      <c r="C210" s="22"/>
      <c r="D210" s="61"/>
      <c r="E210" s="179"/>
      <c r="F210" s="118"/>
      <c r="G210" s="118"/>
      <c r="H210" s="118"/>
      <c r="I210" s="118"/>
      <c r="J210" s="155"/>
      <c r="K210" s="176" t="s">
        <v>114</v>
      </c>
      <c r="L210" s="136"/>
      <c r="M210" s="136"/>
      <c r="N210" s="136"/>
      <c r="O210" s="183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6"/>
      <c r="AH210" s="136"/>
      <c r="AI210" s="136"/>
      <c r="AJ210" s="136"/>
      <c r="AK210" s="136"/>
      <c r="AL210" s="136"/>
      <c r="AM210" s="136"/>
      <c r="AN210" s="136"/>
      <c r="AO210" s="136"/>
      <c r="AP210" s="136"/>
      <c r="AQ210" s="136"/>
      <c r="AR210" s="136"/>
      <c r="AS210" s="136"/>
      <c r="AT210" s="136"/>
      <c r="AU210" s="136"/>
      <c r="AV210" s="136"/>
      <c r="AW210" s="136"/>
      <c r="AX210" s="136"/>
      <c r="AY210" s="136"/>
      <c r="AZ210" s="136"/>
      <c r="BA210" s="136"/>
      <c r="BB210" s="136"/>
      <c r="BC210" s="136"/>
      <c r="BD210" s="137"/>
      <c r="BE210" s="168"/>
      <c r="BF210" s="136"/>
      <c r="BG210" s="136"/>
      <c r="BH210" s="136"/>
      <c r="BI210" s="136"/>
      <c r="BJ210" s="137"/>
      <c r="BK210" s="154"/>
      <c r="BL210" s="118"/>
      <c r="BM210" s="118"/>
      <c r="BN210" s="118"/>
      <c r="BO210" s="118"/>
      <c r="BP210" s="118"/>
      <c r="BQ210" s="118"/>
      <c r="BR210" s="118"/>
      <c r="BS210" s="118"/>
      <c r="BT210" s="118"/>
      <c r="BU210" s="118"/>
      <c r="BV210" s="118"/>
      <c r="BW210" s="118"/>
      <c r="BX210" s="118"/>
      <c r="BY210" s="118"/>
      <c r="BZ210" s="118"/>
      <c r="CA210" s="118"/>
      <c r="CB210" s="118"/>
      <c r="CC210" s="118"/>
      <c r="CD210" s="118"/>
      <c r="CE210" s="118"/>
      <c r="CF210" s="118"/>
      <c r="CG210" s="118"/>
      <c r="CH210" s="118"/>
      <c r="CI210" s="118"/>
      <c r="CJ210" s="118"/>
      <c r="CK210" s="155"/>
      <c r="CL210" s="149"/>
      <c r="CM210" s="136"/>
      <c r="CN210" s="136"/>
      <c r="CO210" s="136"/>
      <c r="CP210" s="136"/>
      <c r="CQ210" s="136"/>
      <c r="CR210" s="136"/>
      <c r="CS210" s="136"/>
      <c r="CT210" s="136"/>
      <c r="CU210" s="136"/>
      <c r="CV210" s="136"/>
      <c r="CW210" s="137"/>
      <c r="CX210" s="150"/>
      <c r="CY210" s="136"/>
      <c r="CZ210" s="136"/>
      <c r="DA210" s="136"/>
      <c r="DB210" s="136"/>
      <c r="DC210" s="136"/>
      <c r="DD210" s="136"/>
      <c r="DE210" s="137"/>
      <c r="DF210" s="168"/>
      <c r="DG210" s="136"/>
      <c r="DH210" s="136"/>
      <c r="DI210" s="136"/>
      <c r="DJ210" s="136"/>
      <c r="DK210" s="169"/>
      <c r="DL210" s="62"/>
      <c r="DM210" s="22"/>
    </row>
    <row r="211" spans="1:706" ht="24" customHeight="1" x14ac:dyDescent="0.15">
      <c r="A211" s="67">
        <v>32</v>
      </c>
      <c r="C211" s="22"/>
      <c r="D211" s="61"/>
      <c r="E211" s="180"/>
      <c r="F211" s="157"/>
      <c r="G211" s="157"/>
      <c r="H211" s="157"/>
      <c r="I211" s="157"/>
      <c r="J211" s="158"/>
      <c r="K211" s="177" t="s">
        <v>115</v>
      </c>
      <c r="L211" s="146"/>
      <c r="M211" s="146"/>
      <c r="N211" s="146"/>
      <c r="O211" s="184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  <c r="AA211" s="146"/>
      <c r="AB211" s="146"/>
      <c r="AC211" s="146"/>
      <c r="AD211" s="146"/>
      <c r="AE211" s="146"/>
      <c r="AF211" s="146"/>
      <c r="AG211" s="146"/>
      <c r="AH211" s="146"/>
      <c r="AI211" s="146"/>
      <c r="AJ211" s="146"/>
      <c r="AK211" s="146"/>
      <c r="AL211" s="146"/>
      <c r="AM211" s="146"/>
      <c r="AN211" s="146"/>
      <c r="AO211" s="146"/>
      <c r="AP211" s="146"/>
      <c r="AQ211" s="146"/>
      <c r="AR211" s="146"/>
      <c r="AS211" s="146"/>
      <c r="AT211" s="146"/>
      <c r="AU211" s="146"/>
      <c r="AV211" s="146"/>
      <c r="AW211" s="146"/>
      <c r="AX211" s="146"/>
      <c r="AY211" s="146"/>
      <c r="AZ211" s="146"/>
      <c r="BA211" s="146"/>
      <c r="BB211" s="146"/>
      <c r="BC211" s="146"/>
      <c r="BD211" s="147"/>
      <c r="BE211" s="170"/>
      <c r="BF211" s="146"/>
      <c r="BG211" s="146"/>
      <c r="BH211" s="146"/>
      <c r="BI211" s="146"/>
      <c r="BJ211" s="147"/>
      <c r="BK211" s="156"/>
      <c r="BL211" s="157"/>
      <c r="BM211" s="157"/>
      <c r="BN211" s="157"/>
      <c r="BO211" s="157"/>
      <c r="BP211" s="157"/>
      <c r="BQ211" s="157"/>
      <c r="BR211" s="157"/>
      <c r="BS211" s="157"/>
      <c r="BT211" s="157"/>
      <c r="BU211" s="157"/>
      <c r="BV211" s="157"/>
      <c r="BW211" s="157"/>
      <c r="BX211" s="157"/>
      <c r="BY211" s="157"/>
      <c r="BZ211" s="157"/>
      <c r="CA211" s="157"/>
      <c r="CB211" s="157"/>
      <c r="CC211" s="157"/>
      <c r="CD211" s="157"/>
      <c r="CE211" s="157"/>
      <c r="CF211" s="157"/>
      <c r="CG211" s="157"/>
      <c r="CH211" s="157"/>
      <c r="CI211" s="157"/>
      <c r="CJ211" s="157"/>
      <c r="CK211" s="158"/>
      <c r="CL211" s="145"/>
      <c r="CM211" s="146"/>
      <c r="CN211" s="146"/>
      <c r="CO211" s="146"/>
      <c r="CP211" s="146"/>
      <c r="CQ211" s="146"/>
      <c r="CR211" s="146"/>
      <c r="CS211" s="146"/>
      <c r="CT211" s="146"/>
      <c r="CU211" s="146"/>
      <c r="CV211" s="146"/>
      <c r="CW211" s="147"/>
      <c r="CX211" s="148"/>
      <c r="CY211" s="146"/>
      <c r="CZ211" s="146"/>
      <c r="DA211" s="146"/>
      <c r="DB211" s="146"/>
      <c r="DC211" s="146"/>
      <c r="DD211" s="146"/>
      <c r="DE211" s="147"/>
      <c r="DF211" s="170"/>
      <c r="DG211" s="146"/>
      <c r="DH211" s="146"/>
      <c r="DI211" s="146"/>
      <c r="DJ211" s="146"/>
      <c r="DK211" s="171"/>
      <c r="DL211" s="62"/>
      <c r="DM211" s="22"/>
    </row>
    <row r="212" spans="1:706" ht="24" customHeight="1" x14ac:dyDescent="0.15">
      <c r="A212" s="67">
        <v>32</v>
      </c>
      <c r="C212" s="22"/>
      <c r="D212" s="61"/>
      <c r="E212" s="178" t="s">
        <v>116</v>
      </c>
      <c r="F212" s="152"/>
      <c r="G212" s="152"/>
      <c r="H212" s="152"/>
      <c r="I212" s="152"/>
      <c r="J212" s="153"/>
      <c r="K212" s="175" t="s">
        <v>117</v>
      </c>
      <c r="L212" s="160"/>
      <c r="M212" s="160"/>
      <c r="N212" s="160"/>
      <c r="O212" s="185"/>
      <c r="P212" s="160"/>
      <c r="Q212" s="160"/>
      <c r="R212" s="160"/>
      <c r="S212" s="160"/>
      <c r="T212" s="160"/>
      <c r="U212" s="160"/>
      <c r="V212" s="160"/>
      <c r="W212" s="160"/>
      <c r="X212" s="160"/>
      <c r="Y212" s="160"/>
      <c r="Z212" s="160"/>
      <c r="AA212" s="160"/>
      <c r="AB212" s="160"/>
      <c r="AC212" s="160"/>
      <c r="AD212" s="160"/>
      <c r="AE212" s="160"/>
      <c r="AF212" s="160"/>
      <c r="AG212" s="160"/>
      <c r="AH212" s="160"/>
      <c r="AI212" s="160"/>
      <c r="AJ212" s="160"/>
      <c r="AK212" s="160"/>
      <c r="AL212" s="160"/>
      <c r="AM212" s="160"/>
      <c r="AN212" s="160"/>
      <c r="AO212" s="160"/>
      <c r="AP212" s="160"/>
      <c r="AQ212" s="160"/>
      <c r="AR212" s="160"/>
      <c r="AS212" s="160"/>
      <c r="AT212" s="160"/>
      <c r="AU212" s="160"/>
      <c r="AV212" s="160"/>
      <c r="AW212" s="160"/>
      <c r="AX212" s="160"/>
      <c r="AY212" s="160"/>
      <c r="AZ212" s="160"/>
      <c r="BA212" s="160"/>
      <c r="BB212" s="160"/>
      <c r="BC212" s="160"/>
      <c r="BD212" s="161"/>
      <c r="BE212" s="163"/>
      <c r="BF212" s="160"/>
      <c r="BG212" s="160"/>
      <c r="BH212" s="160"/>
      <c r="BI212" s="160"/>
      <c r="BJ212" s="161"/>
      <c r="BK212" s="151"/>
      <c r="BL212" s="152"/>
      <c r="BM212" s="152"/>
      <c r="BN212" s="152"/>
      <c r="BO212" s="152"/>
      <c r="BP212" s="152"/>
      <c r="BQ212" s="152"/>
      <c r="BR212" s="152"/>
      <c r="BS212" s="152"/>
      <c r="BT212" s="152"/>
      <c r="BU212" s="152"/>
      <c r="BV212" s="152"/>
      <c r="BW212" s="152"/>
      <c r="BX212" s="152"/>
      <c r="BY212" s="152"/>
      <c r="BZ212" s="152"/>
      <c r="CA212" s="152"/>
      <c r="CB212" s="152"/>
      <c r="CC212" s="152"/>
      <c r="CD212" s="152"/>
      <c r="CE212" s="152"/>
      <c r="CF212" s="152"/>
      <c r="CG212" s="152"/>
      <c r="CH212" s="152"/>
      <c r="CI212" s="152"/>
      <c r="CJ212" s="152"/>
      <c r="CK212" s="153"/>
      <c r="CL212" s="159"/>
      <c r="CM212" s="160"/>
      <c r="CN212" s="160"/>
      <c r="CO212" s="160"/>
      <c r="CP212" s="160"/>
      <c r="CQ212" s="160"/>
      <c r="CR212" s="160"/>
      <c r="CS212" s="160"/>
      <c r="CT212" s="160"/>
      <c r="CU212" s="160"/>
      <c r="CV212" s="160"/>
      <c r="CW212" s="161"/>
      <c r="CX212" s="162"/>
      <c r="CY212" s="160"/>
      <c r="CZ212" s="160"/>
      <c r="DA212" s="160"/>
      <c r="DB212" s="160"/>
      <c r="DC212" s="160"/>
      <c r="DD212" s="160"/>
      <c r="DE212" s="161"/>
      <c r="DF212" s="163"/>
      <c r="DG212" s="160"/>
      <c r="DH212" s="160"/>
      <c r="DI212" s="160"/>
      <c r="DJ212" s="160"/>
      <c r="DK212" s="164"/>
      <c r="DL212" s="62"/>
      <c r="DM212" s="22"/>
    </row>
    <row r="213" spans="1:706" ht="24" customHeight="1" x14ac:dyDescent="0.15">
      <c r="A213" s="67">
        <v>32</v>
      </c>
      <c r="C213" s="22"/>
      <c r="D213" s="61"/>
      <c r="E213" s="179"/>
      <c r="F213" s="118"/>
      <c r="G213" s="118"/>
      <c r="H213" s="118"/>
      <c r="I213" s="118"/>
      <c r="J213" s="155"/>
      <c r="K213" s="176" t="s">
        <v>118</v>
      </c>
      <c r="L213" s="136"/>
      <c r="M213" s="136"/>
      <c r="N213" s="136"/>
      <c r="O213" s="183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6"/>
      <c r="AH213" s="136"/>
      <c r="AI213" s="136"/>
      <c r="AJ213" s="136"/>
      <c r="AK213" s="136"/>
      <c r="AL213" s="136"/>
      <c r="AM213" s="136"/>
      <c r="AN213" s="136"/>
      <c r="AO213" s="136"/>
      <c r="AP213" s="136"/>
      <c r="AQ213" s="136"/>
      <c r="AR213" s="136"/>
      <c r="AS213" s="136"/>
      <c r="AT213" s="136"/>
      <c r="AU213" s="136"/>
      <c r="AV213" s="136"/>
      <c r="AW213" s="136"/>
      <c r="AX213" s="136"/>
      <c r="AY213" s="136"/>
      <c r="AZ213" s="136"/>
      <c r="BA213" s="136"/>
      <c r="BB213" s="136"/>
      <c r="BC213" s="136"/>
      <c r="BD213" s="137"/>
      <c r="BE213" s="168"/>
      <c r="BF213" s="136"/>
      <c r="BG213" s="136"/>
      <c r="BH213" s="136"/>
      <c r="BI213" s="136"/>
      <c r="BJ213" s="137"/>
      <c r="BK213" s="154"/>
      <c r="BL213" s="118"/>
      <c r="BM213" s="118"/>
      <c r="BN213" s="118"/>
      <c r="BO213" s="118"/>
      <c r="BP213" s="118"/>
      <c r="BQ213" s="118"/>
      <c r="BR213" s="118"/>
      <c r="BS213" s="118"/>
      <c r="BT213" s="118"/>
      <c r="BU213" s="118"/>
      <c r="BV213" s="118"/>
      <c r="BW213" s="118"/>
      <c r="BX213" s="118"/>
      <c r="BY213" s="118"/>
      <c r="BZ213" s="118"/>
      <c r="CA213" s="118"/>
      <c r="CB213" s="118"/>
      <c r="CC213" s="118"/>
      <c r="CD213" s="118"/>
      <c r="CE213" s="118"/>
      <c r="CF213" s="118"/>
      <c r="CG213" s="118"/>
      <c r="CH213" s="118"/>
      <c r="CI213" s="118"/>
      <c r="CJ213" s="118"/>
      <c r="CK213" s="155"/>
      <c r="CL213" s="149"/>
      <c r="CM213" s="136"/>
      <c r="CN213" s="136"/>
      <c r="CO213" s="136"/>
      <c r="CP213" s="136"/>
      <c r="CQ213" s="136"/>
      <c r="CR213" s="136"/>
      <c r="CS213" s="136"/>
      <c r="CT213" s="136"/>
      <c r="CU213" s="136"/>
      <c r="CV213" s="136"/>
      <c r="CW213" s="137"/>
      <c r="CX213" s="150"/>
      <c r="CY213" s="136"/>
      <c r="CZ213" s="136"/>
      <c r="DA213" s="136"/>
      <c r="DB213" s="136"/>
      <c r="DC213" s="136"/>
      <c r="DD213" s="136"/>
      <c r="DE213" s="137"/>
      <c r="DF213" s="168"/>
      <c r="DG213" s="136"/>
      <c r="DH213" s="136"/>
      <c r="DI213" s="136"/>
      <c r="DJ213" s="136"/>
      <c r="DK213" s="169"/>
      <c r="DL213" s="62"/>
      <c r="DM213" s="22"/>
    </row>
    <row r="214" spans="1:706" ht="24" customHeight="1" x14ac:dyDescent="0.15">
      <c r="A214" s="67">
        <v>32</v>
      </c>
      <c r="C214" s="22"/>
      <c r="D214" s="61"/>
      <c r="E214" s="180"/>
      <c r="F214" s="157"/>
      <c r="G214" s="157"/>
      <c r="H214" s="157"/>
      <c r="I214" s="157"/>
      <c r="J214" s="158"/>
      <c r="K214" s="177" t="s">
        <v>119</v>
      </c>
      <c r="L214" s="146"/>
      <c r="M214" s="146"/>
      <c r="N214" s="146"/>
      <c r="O214" s="184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  <c r="AA214" s="146"/>
      <c r="AB214" s="146"/>
      <c r="AC214" s="146"/>
      <c r="AD214" s="146"/>
      <c r="AE214" s="146"/>
      <c r="AF214" s="146"/>
      <c r="AG214" s="146"/>
      <c r="AH214" s="146"/>
      <c r="AI214" s="146"/>
      <c r="AJ214" s="146"/>
      <c r="AK214" s="146"/>
      <c r="AL214" s="146"/>
      <c r="AM214" s="146"/>
      <c r="AN214" s="146"/>
      <c r="AO214" s="146"/>
      <c r="AP214" s="146"/>
      <c r="AQ214" s="146"/>
      <c r="AR214" s="146"/>
      <c r="AS214" s="146"/>
      <c r="AT214" s="146"/>
      <c r="AU214" s="146"/>
      <c r="AV214" s="146"/>
      <c r="AW214" s="146"/>
      <c r="AX214" s="146"/>
      <c r="AY214" s="146"/>
      <c r="AZ214" s="146"/>
      <c r="BA214" s="146"/>
      <c r="BB214" s="146"/>
      <c r="BC214" s="146"/>
      <c r="BD214" s="147"/>
      <c r="BE214" s="170"/>
      <c r="BF214" s="146"/>
      <c r="BG214" s="146"/>
      <c r="BH214" s="146"/>
      <c r="BI214" s="146"/>
      <c r="BJ214" s="147"/>
      <c r="BK214" s="156"/>
      <c r="BL214" s="157"/>
      <c r="BM214" s="157"/>
      <c r="BN214" s="157"/>
      <c r="BO214" s="157"/>
      <c r="BP214" s="157"/>
      <c r="BQ214" s="157"/>
      <c r="BR214" s="157"/>
      <c r="BS214" s="157"/>
      <c r="BT214" s="157"/>
      <c r="BU214" s="157"/>
      <c r="BV214" s="157"/>
      <c r="BW214" s="157"/>
      <c r="BX214" s="157"/>
      <c r="BY214" s="157"/>
      <c r="BZ214" s="157"/>
      <c r="CA214" s="157"/>
      <c r="CB214" s="157"/>
      <c r="CC214" s="157"/>
      <c r="CD214" s="157"/>
      <c r="CE214" s="157"/>
      <c r="CF214" s="157"/>
      <c r="CG214" s="157"/>
      <c r="CH214" s="157"/>
      <c r="CI214" s="157"/>
      <c r="CJ214" s="157"/>
      <c r="CK214" s="158"/>
      <c r="CL214" s="145"/>
      <c r="CM214" s="146"/>
      <c r="CN214" s="146"/>
      <c r="CO214" s="146"/>
      <c r="CP214" s="146"/>
      <c r="CQ214" s="146"/>
      <c r="CR214" s="146"/>
      <c r="CS214" s="146"/>
      <c r="CT214" s="146"/>
      <c r="CU214" s="146"/>
      <c r="CV214" s="146"/>
      <c r="CW214" s="147"/>
      <c r="CX214" s="148"/>
      <c r="CY214" s="146"/>
      <c r="CZ214" s="146"/>
      <c r="DA214" s="146"/>
      <c r="DB214" s="146"/>
      <c r="DC214" s="146"/>
      <c r="DD214" s="146"/>
      <c r="DE214" s="147"/>
      <c r="DF214" s="170"/>
      <c r="DG214" s="146"/>
      <c r="DH214" s="146"/>
      <c r="DI214" s="146"/>
      <c r="DJ214" s="146"/>
      <c r="DK214" s="171"/>
      <c r="DL214" s="62"/>
      <c r="DM214" s="22"/>
    </row>
    <row r="215" spans="1:706" ht="24" customHeight="1" x14ac:dyDescent="0.15">
      <c r="A215" s="67">
        <v>32</v>
      </c>
      <c r="C215" s="22"/>
      <c r="D215" s="61"/>
      <c r="E215" s="178" t="s">
        <v>120</v>
      </c>
      <c r="F215" s="152"/>
      <c r="G215" s="152"/>
      <c r="H215" s="152"/>
      <c r="I215" s="152"/>
      <c r="J215" s="153"/>
      <c r="K215" s="175" t="s">
        <v>121</v>
      </c>
      <c r="L215" s="160"/>
      <c r="M215" s="160"/>
      <c r="N215" s="160"/>
      <c r="O215" s="185"/>
      <c r="P215" s="160"/>
      <c r="Q215" s="160"/>
      <c r="R215" s="160"/>
      <c r="S215" s="160"/>
      <c r="T215" s="160"/>
      <c r="U215" s="160"/>
      <c r="V215" s="160"/>
      <c r="W215" s="160"/>
      <c r="X215" s="160"/>
      <c r="Y215" s="160"/>
      <c r="Z215" s="160"/>
      <c r="AA215" s="160"/>
      <c r="AB215" s="160"/>
      <c r="AC215" s="160"/>
      <c r="AD215" s="160"/>
      <c r="AE215" s="160"/>
      <c r="AF215" s="160"/>
      <c r="AG215" s="160"/>
      <c r="AH215" s="160"/>
      <c r="AI215" s="160"/>
      <c r="AJ215" s="160"/>
      <c r="AK215" s="160"/>
      <c r="AL215" s="160"/>
      <c r="AM215" s="160"/>
      <c r="AN215" s="160"/>
      <c r="AO215" s="160"/>
      <c r="AP215" s="160"/>
      <c r="AQ215" s="160"/>
      <c r="AR215" s="160"/>
      <c r="AS215" s="160"/>
      <c r="AT215" s="160"/>
      <c r="AU215" s="160"/>
      <c r="AV215" s="160"/>
      <c r="AW215" s="160"/>
      <c r="AX215" s="160"/>
      <c r="AY215" s="160"/>
      <c r="AZ215" s="160"/>
      <c r="BA215" s="160"/>
      <c r="BB215" s="160"/>
      <c r="BC215" s="160"/>
      <c r="BD215" s="161"/>
      <c r="BE215" s="163"/>
      <c r="BF215" s="160"/>
      <c r="BG215" s="160"/>
      <c r="BH215" s="160"/>
      <c r="BI215" s="160"/>
      <c r="BJ215" s="161"/>
      <c r="BK215" s="151"/>
      <c r="BL215" s="152"/>
      <c r="BM215" s="152"/>
      <c r="BN215" s="152"/>
      <c r="BO215" s="152"/>
      <c r="BP215" s="152"/>
      <c r="BQ215" s="152"/>
      <c r="BR215" s="152"/>
      <c r="BS215" s="152"/>
      <c r="BT215" s="152"/>
      <c r="BU215" s="152"/>
      <c r="BV215" s="152"/>
      <c r="BW215" s="152"/>
      <c r="BX215" s="152"/>
      <c r="BY215" s="152"/>
      <c r="BZ215" s="152"/>
      <c r="CA215" s="152"/>
      <c r="CB215" s="152"/>
      <c r="CC215" s="152"/>
      <c r="CD215" s="152"/>
      <c r="CE215" s="152"/>
      <c r="CF215" s="152"/>
      <c r="CG215" s="152"/>
      <c r="CH215" s="152"/>
      <c r="CI215" s="152"/>
      <c r="CJ215" s="152"/>
      <c r="CK215" s="153"/>
      <c r="CL215" s="159"/>
      <c r="CM215" s="160"/>
      <c r="CN215" s="160"/>
      <c r="CO215" s="160"/>
      <c r="CP215" s="160"/>
      <c r="CQ215" s="160"/>
      <c r="CR215" s="160"/>
      <c r="CS215" s="160"/>
      <c r="CT215" s="160"/>
      <c r="CU215" s="160"/>
      <c r="CV215" s="160"/>
      <c r="CW215" s="161"/>
      <c r="CX215" s="162"/>
      <c r="CY215" s="160"/>
      <c r="CZ215" s="160"/>
      <c r="DA215" s="160"/>
      <c r="DB215" s="160"/>
      <c r="DC215" s="160"/>
      <c r="DD215" s="160"/>
      <c r="DE215" s="161"/>
      <c r="DF215" s="163"/>
      <c r="DG215" s="160"/>
      <c r="DH215" s="160"/>
      <c r="DI215" s="160"/>
      <c r="DJ215" s="160"/>
      <c r="DK215" s="164"/>
      <c r="DL215" s="62"/>
      <c r="DM215" s="22"/>
    </row>
    <row r="216" spans="1:706" ht="24" customHeight="1" x14ac:dyDescent="0.15">
      <c r="A216" s="67">
        <v>32</v>
      </c>
      <c r="C216" s="22"/>
      <c r="D216" s="61"/>
      <c r="E216" s="179"/>
      <c r="F216" s="118"/>
      <c r="G216" s="118"/>
      <c r="H216" s="118"/>
      <c r="I216" s="118"/>
      <c r="J216" s="155"/>
      <c r="K216" s="176" t="s">
        <v>122</v>
      </c>
      <c r="L216" s="136"/>
      <c r="M216" s="136"/>
      <c r="N216" s="136"/>
      <c r="O216" s="183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6"/>
      <c r="AH216" s="136"/>
      <c r="AI216" s="136"/>
      <c r="AJ216" s="136"/>
      <c r="AK216" s="136"/>
      <c r="AL216" s="136"/>
      <c r="AM216" s="136"/>
      <c r="AN216" s="136"/>
      <c r="AO216" s="136"/>
      <c r="AP216" s="136"/>
      <c r="AQ216" s="136"/>
      <c r="AR216" s="136"/>
      <c r="AS216" s="136"/>
      <c r="AT216" s="136"/>
      <c r="AU216" s="136"/>
      <c r="AV216" s="136"/>
      <c r="AW216" s="136"/>
      <c r="AX216" s="136"/>
      <c r="AY216" s="136"/>
      <c r="AZ216" s="136"/>
      <c r="BA216" s="136"/>
      <c r="BB216" s="136"/>
      <c r="BC216" s="136"/>
      <c r="BD216" s="137"/>
      <c r="BE216" s="168"/>
      <c r="BF216" s="136"/>
      <c r="BG216" s="136"/>
      <c r="BH216" s="136"/>
      <c r="BI216" s="136"/>
      <c r="BJ216" s="137"/>
      <c r="BK216" s="154"/>
      <c r="BL216" s="118"/>
      <c r="BM216" s="118"/>
      <c r="BN216" s="118"/>
      <c r="BO216" s="118"/>
      <c r="BP216" s="118"/>
      <c r="BQ216" s="118"/>
      <c r="BR216" s="118"/>
      <c r="BS216" s="118"/>
      <c r="BT216" s="118"/>
      <c r="BU216" s="118"/>
      <c r="BV216" s="118"/>
      <c r="BW216" s="118"/>
      <c r="BX216" s="118"/>
      <c r="BY216" s="118"/>
      <c r="BZ216" s="118"/>
      <c r="CA216" s="118"/>
      <c r="CB216" s="118"/>
      <c r="CC216" s="118"/>
      <c r="CD216" s="118"/>
      <c r="CE216" s="118"/>
      <c r="CF216" s="118"/>
      <c r="CG216" s="118"/>
      <c r="CH216" s="118"/>
      <c r="CI216" s="118"/>
      <c r="CJ216" s="118"/>
      <c r="CK216" s="155"/>
      <c r="CL216" s="149"/>
      <c r="CM216" s="136"/>
      <c r="CN216" s="136"/>
      <c r="CO216" s="136"/>
      <c r="CP216" s="136"/>
      <c r="CQ216" s="136"/>
      <c r="CR216" s="136"/>
      <c r="CS216" s="136"/>
      <c r="CT216" s="136"/>
      <c r="CU216" s="136"/>
      <c r="CV216" s="136"/>
      <c r="CW216" s="137"/>
      <c r="CX216" s="150"/>
      <c r="CY216" s="136"/>
      <c r="CZ216" s="136"/>
      <c r="DA216" s="136"/>
      <c r="DB216" s="136"/>
      <c r="DC216" s="136"/>
      <c r="DD216" s="136"/>
      <c r="DE216" s="137"/>
      <c r="DF216" s="168"/>
      <c r="DG216" s="136"/>
      <c r="DH216" s="136"/>
      <c r="DI216" s="136"/>
      <c r="DJ216" s="136"/>
      <c r="DK216" s="169"/>
      <c r="DL216" s="62"/>
      <c r="DM216" s="22"/>
    </row>
    <row r="217" spans="1:706" ht="24" customHeight="1" x14ac:dyDescent="0.15">
      <c r="A217" s="67">
        <v>32</v>
      </c>
      <c r="C217" s="22"/>
      <c r="D217" s="61"/>
      <c r="E217" s="180"/>
      <c r="F217" s="157"/>
      <c r="G217" s="157"/>
      <c r="H217" s="157"/>
      <c r="I217" s="157"/>
      <c r="J217" s="158"/>
      <c r="K217" s="177" t="s">
        <v>123</v>
      </c>
      <c r="L217" s="146"/>
      <c r="M217" s="146"/>
      <c r="N217" s="146"/>
      <c r="O217" s="184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  <c r="AA217" s="146"/>
      <c r="AB217" s="146"/>
      <c r="AC217" s="146"/>
      <c r="AD217" s="146"/>
      <c r="AE217" s="146"/>
      <c r="AF217" s="146"/>
      <c r="AG217" s="146"/>
      <c r="AH217" s="146"/>
      <c r="AI217" s="146"/>
      <c r="AJ217" s="146"/>
      <c r="AK217" s="146"/>
      <c r="AL217" s="146"/>
      <c r="AM217" s="146"/>
      <c r="AN217" s="146"/>
      <c r="AO217" s="146"/>
      <c r="AP217" s="146"/>
      <c r="AQ217" s="146"/>
      <c r="AR217" s="146"/>
      <c r="AS217" s="146"/>
      <c r="AT217" s="146"/>
      <c r="AU217" s="146"/>
      <c r="AV217" s="146"/>
      <c r="AW217" s="146"/>
      <c r="AX217" s="146"/>
      <c r="AY217" s="146"/>
      <c r="AZ217" s="146"/>
      <c r="BA217" s="146"/>
      <c r="BB217" s="146"/>
      <c r="BC217" s="146"/>
      <c r="BD217" s="147"/>
      <c r="BE217" s="170"/>
      <c r="BF217" s="146"/>
      <c r="BG217" s="146"/>
      <c r="BH217" s="146"/>
      <c r="BI217" s="146"/>
      <c r="BJ217" s="147"/>
      <c r="BK217" s="156"/>
      <c r="BL217" s="157"/>
      <c r="BM217" s="157"/>
      <c r="BN217" s="157"/>
      <c r="BO217" s="157"/>
      <c r="BP217" s="157"/>
      <c r="BQ217" s="157"/>
      <c r="BR217" s="157"/>
      <c r="BS217" s="157"/>
      <c r="BT217" s="157"/>
      <c r="BU217" s="157"/>
      <c r="BV217" s="157"/>
      <c r="BW217" s="157"/>
      <c r="BX217" s="157"/>
      <c r="BY217" s="157"/>
      <c r="BZ217" s="157"/>
      <c r="CA217" s="157"/>
      <c r="CB217" s="157"/>
      <c r="CC217" s="157"/>
      <c r="CD217" s="157"/>
      <c r="CE217" s="157"/>
      <c r="CF217" s="157"/>
      <c r="CG217" s="157"/>
      <c r="CH217" s="157"/>
      <c r="CI217" s="157"/>
      <c r="CJ217" s="157"/>
      <c r="CK217" s="158"/>
      <c r="CL217" s="145"/>
      <c r="CM217" s="146"/>
      <c r="CN217" s="146"/>
      <c r="CO217" s="146"/>
      <c r="CP217" s="146"/>
      <c r="CQ217" s="146"/>
      <c r="CR217" s="146"/>
      <c r="CS217" s="146"/>
      <c r="CT217" s="146"/>
      <c r="CU217" s="146"/>
      <c r="CV217" s="146"/>
      <c r="CW217" s="147"/>
      <c r="CX217" s="148"/>
      <c r="CY217" s="146"/>
      <c r="CZ217" s="146"/>
      <c r="DA217" s="146"/>
      <c r="DB217" s="146"/>
      <c r="DC217" s="146"/>
      <c r="DD217" s="146"/>
      <c r="DE217" s="147"/>
      <c r="DF217" s="170"/>
      <c r="DG217" s="146"/>
      <c r="DH217" s="146"/>
      <c r="DI217" s="146"/>
      <c r="DJ217" s="146"/>
      <c r="DK217" s="171"/>
      <c r="DL217" s="62"/>
      <c r="DM217" s="22"/>
    </row>
    <row r="218" spans="1:706" ht="24" customHeight="1" x14ac:dyDescent="0.15">
      <c r="A218" s="67">
        <v>32</v>
      </c>
      <c r="C218" s="22"/>
      <c r="D218" s="61"/>
      <c r="E218" s="178" t="s">
        <v>124</v>
      </c>
      <c r="F218" s="152"/>
      <c r="G218" s="152"/>
      <c r="H218" s="152"/>
      <c r="I218" s="152"/>
      <c r="J218" s="153"/>
      <c r="K218" s="175" t="s">
        <v>125</v>
      </c>
      <c r="L218" s="160"/>
      <c r="M218" s="160"/>
      <c r="N218" s="160"/>
      <c r="O218" s="185"/>
      <c r="P218" s="160"/>
      <c r="Q218" s="160"/>
      <c r="R218" s="160"/>
      <c r="S218" s="160"/>
      <c r="T218" s="160"/>
      <c r="U218" s="160"/>
      <c r="V218" s="160"/>
      <c r="W218" s="160"/>
      <c r="X218" s="160"/>
      <c r="Y218" s="160"/>
      <c r="Z218" s="160"/>
      <c r="AA218" s="160"/>
      <c r="AB218" s="160"/>
      <c r="AC218" s="160"/>
      <c r="AD218" s="160"/>
      <c r="AE218" s="160"/>
      <c r="AF218" s="160"/>
      <c r="AG218" s="160"/>
      <c r="AH218" s="160"/>
      <c r="AI218" s="160"/>
      <c r="AJ218" s="160"/>
      <c r="AK218" s="160"/>
      <c r="AL218" s="160"/>
      <c r="AM218" s="160"/>
      <c r="AN218" s="160"/>
      <c r="AO218" s="160"/>
      <c r="AP218" s="160"/>
      <c r="AQ218" s="160"/>
      <c r="AR218" s="160"/>
      <c r="AS218" s="160"/>
      <c r="AT218" s="160"/>
      <c r="AU218" s="160"/>
      <c r="AV218" s="160"/>
      <c r="AW218" s="160"/>
      <c r="AX218" s="160"/>
      <c r="AY218" s="160"/>
      <c r="AZ218" s="160"/>
      <c r="BA218" s="160"/>
      <c r="BB218" s="160"/>
      <c r="BC218" s="160"/>
      <c r="BD218" s="161"/>
      <c r="BE218" s="163"/>
      <c r="BF218" s="160"/>
      <c r="BG218" s="160"/>
      <c r="BH218" s="160"/>
      <c r="BI218" s="160"/>
      <c r="BJ218" s="161"/>
      <c r="BK218" s="151"/>
      <c r="BL218" s="152"/>
      <c r="BM218" s="152"/>
      <c r="BN218" s="152"/>
      <c r="BO218" s="152"/>
      <c r="BP218" s="152"/>
      <c r="BQ218" s="152"/>
      <c r="BR218" s="152"/>
      <c r="BS218" s="152"/>
      <c r="BT218" s="152"/>
      <c r="BU218" s="152"/>
      <c r="BV218" s="152"/>
      <c r="BW218" s="152"/>
      <c r="BX218" s="152"/>
      <c r="BY218" s="152"/>
      <c r="BZ218" s="152"/>
      <c r="CA218" s="152"/>
      <c r="CB218" s="152"/>
      <c r="CC218" s="152"/>
      <c r="CD218" s="152"/>
      <c r="CE218" s="152"/>
      <c r="CF218" s="152"/>
      <c r="CG218" s="152"/>
      <c r="CH218" s="152"/>
      <c r="CI218" s="152"/>
      <c r="CJ218" s="152"/>
      <c r="CK218" s="153"/>
      <c r="CL218" s="159"/>
      <c r="CM218" s="160"/>
      <c r="CN218" s="160"/>
      <c r="CO218" s="160"/>
      <c r="CP218" s="160"/>
      <c r="CQ218" s="160"/>
      <c r="CR218" s="160"/>
      <c r="CS218" s="160"/>
      <c r="CT218" s="160"/>
      <c r="CU218" s="160"/>
      <c r="CV218" s="160"/>
      <c r="CW218" s="161"/>
      <c r="CX218" s="162"/>
      <c r="CY218" s="160"/>
      <c r="CZ218" s="160"/>
      <c r="DA218" s="160"/>
      <c r="DB218" s="160"/>
      <c r="DC218" s="160"/>
      <c r="DD218" s="160"/>
      <c r="DE218" s="161"/>
      <c r="DF218" s="163"/>
      <c r="DG218" s="160"/>
      <c r="DH218" s="160"/>
      <c r="DI218" s="160"/>
      <c r="DJ218" s="160"/>
      <c r="DK218" s="164"/>
      <c r="DL218" s="62"/>
      <c r="DM218" s="22"/>
    </row>
    <row r="219" spans="1:706" ht="24" customHeight="1" x14ac:dyDescent="0.15">
      <c r="A219" s="67">
        <v>32</v>
      </c>
      <c r="C219" s="22"/>
      <c r="D219" s="61"/>
      <c r="E219" s="180"/>
      <c r="F219" s="157"/>
      <c r="G219" s="157"/>
      <c r="H219" s="157"/>
      <c r="I219" s="157"/>
      <c r="J219" s="158"/>
      <c r="K219" s="177" t="s">
        <v>126</v>
      </c>
      <c r="L219" s="146"/>
      <c r="M219" s="146"/>
      <c r="N219" s="146"/>
      <c r="O219" s="184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  <c r="AA219" s="146"/>
      <c r="AB219" s="146"/>
      <c r="AC219" s="146"/>
      <c r="AD219" s="146"/>
      <c r="AE219" s="146"/>
      <c r="AF219" s="146"/>
      <c r="AG219" s="146"/>
      <c r="AH219" s="146"/>
      <c r="AI219" s="146"/>
      <c r="AJ219" s="146"/>
      <c r="AK219" s="146"/>
      <c r="AL219" s="146"/>
      <c r="AM219" s="146"/>
      <c r="AN219" s="146"/>
      <c r="AO219" s="146"/>
      <c r="AP219" s="146"/>
      <c r="AQ219" s="146"/>
      <c r="AR219" s="146"/>
      <c r="AS219" s="146"/>
      <c r="AT219" s="146"/>
      <c r="AU219" s="146"/>
      <c r="AV219" s="146"/>
      <c r="AW219" s="146"/>
      <c r="AX219" s="146"/>
      <c r="AY219" s="146"/>
      <c r="AZ219" s="146"/>
      <c r="BA219" s="146"/>
      <c r="BB219" s="146"/>
      <c r="BC219" s="146"/>
      <c r="BD219" s="147"/>
      <c r="BE219" s="170"/>
      <c r="BF219" s="146"/>
      <c r="BG219" s="146"/>
      <c r="BH219" s="146"/>
      <c r="BI219" s="146"/>
      <c r="BJ219" s="147"/>
      <c r="BK219" s="156"/>
      <c r="BL219" s="157"/>
      <c r="BM219" s="157"/>
      <c r="BN219" s="157"/>
      <c r="BO219" s="157"/>
      <c r="BP219" s="157"/>
      <c r="BQ219" s="157"/>
      <c r="BR219" s="157"/>
      <c r="BS219" s="157"/>
      <c r="BT219" s="157"/>
      <c r="BU219" s="157"/>
      <c r="BV219" s="157"/>
      <c r="BW219" s="157"/>
      <c r="BX219" s="157"/>
      <c r="BY219" s="157"/>
      <c r="BZ219" s="157"/>
      <c r="CA219" s="157"/>
      <c r="CB219" s="157"/>
      <c r="CC219" s="157"/>
      <c r="CD219" s="157"/>
      <c r="CE219" s="157"/>
      <c r="CF219" s="157"/>
      <c r="CG219" s="157"/>
      <c r="CH219" s="157"/>
      <c r="CI219" s="157"/>
      <c r="CJ219" s="157"/>
      <c r="CK219" s="158"/>
      <c r="CL219" s="145"/>
      <c r="CM219" s="146"/>
      <c r="CN219" s="146"/>
      <c r="CO219" s="146"/>
      <c r="CP219" s="146"/>
      <c r="CQ219" s="146"/>
      <c r="CR219" s="146"/>
      <c r="CS219" s="146"/>
      <c r="CT219" s="146"/>
      <c r="CU219" s="146"/>
      <c r="CV219" s="146"/>
      <c r="CW219" s="147"/>
      <c r="CX219" s="148"/>
      <c r="CY219" s="146"/>
      <c r="CZ219" s="146"/>
      <c r="DA219" s="146"/>
      <c r="DB219" s="146"/>
      <c r="DC219" s="146"/>
      <c r="DD219" s="146"/>
      <c r="DE219" s="147"/>
      <c r="DF219" s="170"/>
      <c r="DG219" s="146"/>
      <c r="DH219" s="146"/>
      <c r="DI219" s="146"/>
      <c r="DJ219" s="146"/>
      <c r="DK219" s="171"/>
      <c r="DL219" s="62"/>
      <c r="DM219" s="22"/>
    </row>
    <row r="220" spans="1:706" ht="4.5" customHeight="1" x14ac:dyDescent="0.15">
      <c r="A220" s="67">
        <v>5</v>
      </c>
      <c r="C220" s="22"/>
      <c r="D220" s="61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  <c r="AL220" s="73"/>
      <c r="AM220" s="73"/>
      <c r="AN220" s="73"/>
      <c r="AO220" s="73"/>
      <c r="AP220" s="73"/>
      <c r="AQ220" s="73"/>
      <c r="AR220" s="73"/>
      <c r="AS220" s="73"/>
      <c r="AT220" s="73"/>
      <c r="AU220" s="73"/>
      <c r="AV220" s="73"/>
      <c r="AW220" s="73"/>
      <c r="AX220" s="73"/>
      <c r="AY220" s="73"/>
      <c r="AZ220" s="73"/>
      <c r="BA220" s="73"/>
      <c r="BB220" s="73"/>
      <c r="BC220" s="73"/>
      <c r="BD220" s="73"/>
      <c r="BE220" s="73"/>
      <c r="BF220" s="73"/>
      <c r="BG220" s="73"/>
      <c r="BH220" s="73"/>
      <c r="BI220" s="73"/>
      <c r="BJ220" s="73"/>
      <c r="BK220" s="73"/>
      <c r="BL220" s="73"/>
      <c r="BM220" s="73"/>
      <c r="BN220" s="73"/>
      <c r="BO220" s="73"/>
      <c r="BP220" s="73"/>
      <c r="BQ220" s="73"/>
      <c r="BR220" s="73"/>
      <c r="BS220" s="73"/>
      <c r="BT220" s="73"/>
      <c r="BU220" s="73"/>
      <c r="BV220" s="73"/>
      <c r="BW220" s="73"/>
      <c r="BX220" s="73"/>
      <c r="BY220" s="73"/>
      <c r="BZ220" s="73"/>
      <c r="CA220" s="73"/>
      <c r="CB220" s="73"/>
      <c r="CC220" s="73"/>
      <c r="CD220" s="73"/>
      <c r="CE220" s="73"/>
      <c r="CF220" s="73"/>
      <c r="CG220" s="73"/>
      <c r="CH220" s="73"/>
      <c r="CI220" s="73"/>
      <c r="CJ220" s="73"/>
      <c r="CK220" s="73"/>
      <c r="CL220" s="73"/>
      <c r="CM220" s="73"/>
      <c r="CN220" s="73"/>
      <c r="CO220" s="73"/>
      <c r="CP220" s="73"/>
      <c r="CQ220" s="73"/>
      <c r="CR220" s="73"/>
      <c r="CS220" s="73"/>
      <c r="CT220" s="73"/>
      <c r="CU220" s="73"/>
      <c r="CV220" s="73"/>
      <c r="CW220" s="73"/>
      <c r="CX220" s="73"/>
      <c r="CY220" s="73"/>
      <c r="CZ220" s="73"/>
      <c r="DA220" s="73"/>
      <c r="DB220" s="73"/>
      <c r="DC220" s="73"/>
      <c r="DD220" s="73"/>
      <c r="DE220" s="69"/>
      <c r="DF220" s="73"/>
      <c r="DG220" s="73"/>
      <c r="DH220" s="73"/>
      <c r="DI220" s="73"/>
      <c r="DJ220" s="73"/>
      <c r="DK220" s="73"/>
      <c r="DL220" s="62"/>
      <c r="DM220" s="22"/>
      <c r="DN220" s="13"/>
      <c r="DO220" s="24"/>
    </row>
    <row r="221" spans="1:706" ht="30" customHeight="1" x14ac:dyDescent="0.15">
      <c r="A221" s="67"/>
      <c r="C221" s="22"/>
      <c r="D221" s="61"/>
      <c r="E221" s="188" t="str">
        <f>IF(BE222&gt;0,"مجموع ساعات التدريب الفصلية من"&amp;" (  "&amp;$BE$222&amp;" )  "&amp;"ساعة","مجموع ساعات التدريب الفصلية")</f>
        <v>مجموع ساعات التدريب الفصلية</v>
      </c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  <c r="AE221" s="106"/>
      <c r="AF221" s="106"/>
      <c r="AG221" s="106"/>
      <c r="AH221" s="106"/>
      <c r="AI221" s="106"/>
      <c r="AJ221" s="106"/>
      <c r="AK221" s="106"/>
      <c r="AL221" s="106"/>
      <c r="AM221" s="106"/>
      <c r="AN221" s="106"/>
      <c r="AO221" s="106"/>
      <c r="AP221" s="106"/>
      <c r="AQ221" s="106"/>
      <c r="AR221" s="106"/>
      <c r="AS221" s="106"/>
      <c r="AT221" s="106"/>
      <c r="AU221" s="106"/>
      <c r="AV221" s="106"/>
      <c r="AW221" s="106"/>
      <c r="AX221" s="106"/>
      <c r="AY221" s="106"/>
      <c r="AZ221" s="106"/>
      <c r="BA221" s="106"/>
      <c r="BB221" s="106"/>
      <c r="BC221" s="106"/>
      <c r="BD221" s="107"/>
      <c r="BE221" s="197">
        <f>SUM($BE$152:$BE$211)</f>
        <v>0</v>
      </c>
      <c r="BF221" s="106"/>
      <c r="BG221" s="106"/>
      <c r="BH221" s="106"/>
      <c r="BI221" s="106"/>
      <c r="BJ221" s="107"/>
      <c r="BK221" s="198" t="s">
        <v>127</v>
      </c>
      <c r="BL221" s="106"/>
      <c r="BM221" s="106"/>
      <c r="BN221" s="106"/>
      <c r="BO221" s="106"/>
      <c r="BP221" s="106"/>
      <c r="BQ221" s="106"/>
      <c r="BR221" s="106"/>
      <c r="BS221" s="106"/>
      <c r="BT221" s="106"/>
      <c r="BU221" s="106"/>
      <c r="BV221" s="106"/>
      <c r="BW221" s="106"/>
      <c r="BX221" s="106"/>
      <c r="BY221" s="106"/>
      <c r="BZ221" s="106"/>
      <c r="CA221" s="106"/>
      <c r="CB221" s="106"/>
      <c r="CC221" s="106"/>
      <c r="CD221" s="106"/>
      <c r="CE221" s="106"/>
      <c r="CF221" s="106"/>
      <c r="CG221" s="106"/>
      <c r="CH221" s="106"/>
      <c r="CI221" s="106"/>
      <c r="CJ221" s="106"/>
      <c r="CK221" s="106"/>
      <c r="CL221" s="106"/>
      <c r="CM221" s="106"/>
      <c r="CN221" s="106"/>
      <c r="CO221" s="106"/>
      <c r="CP221" s="106"/>
      <c r="CQ221" s="106"/>
      <c r="CR221" s="106"/>
      <c r="CS221" s="106"/>
      <c r="CT221" s="106"/>
      <c r="CU221" s="106"/>
      <c r="CV221" s="106"/>
      <c r="CW221" s="106"/>
      <c r="CX221" s="106"/>
      <c r="CY221" s="106"/>
      <c r="CZ221" s="106"/>
      <c r="DA221" s="106"/>
      <c r="DB221" s="106"/>
      <c r="DC221" s="106"/>
      <c r="DD221" s="106"/>
      <c r="DE221" s="107"/>
      <c r="DF221" s="199">
        <f>SUM($DF$152:$DF$219)</f>
        <v>0</v>
      </c>
      <c r="DG221" s="106"/>
      <c r="DH221" s="106"/>
      <c r="DI221" s="106"/>
      <c r="DJ221" s="106"/>
      <c r="DK221" s="107"/>
      <c r="DL221" s="62"/>
      <c r="DM221" s="22"/>
    </row>
    <row r="222" spans="1:706" ht="4.5" customHeight="1" x14ac:dyDescent="0.15">
      <c r="A222" s="67"/>
      <c r="C222" s="22"/>
      <c r="D222" s="63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64"/>
      <c r="AR222" s="64"/>
      <c r="AS222" s="64"/>
      <c r="AT222" s="64"/>
      <c r="AU222" s="64"/>
      <c r="AV222" s="64"/>
      <c r="AW222" s="64"/>
      <c r="AX222" s="64"/>
      <c r="AY222" s="64"/>
      <c r="AZ222" s="64"/>
      <c r="BA222" s="64"/>
      <c r="BB222" s="64"/>
      <c r="BC222" s="64"/>
      <c r="BD222" s="64"/>
      <c r="BE222" s="200">
        <f>IFERROR($CH$81*16,0)</f>
        <v>0</v>
      </c>
      <c r="BF222" s="201"/>
      <c r="BG222" s="201"/>
      <c r="BH222" s="201"/>
      <c r="BI222" s="201"/>
      <c r="BJ222" s="202"/>
      <c r="BK222" s="64"/>
      <c r="BL222" s="64"/>
      <c r="BM222" s="64"/>
      <c r="BN222" s="64"/>
      <c r="BO222" s="64"/>
      <c r="BP222" s="64"/>
      <c r="BQ222" s="64"/>
      <c r="BR222" s="64"/>
      <c r="BS222" s="64"/>
      <c r="BT222" s="64"/>
      <c r="BU222" s="64"/>
      <c r="BV222" s="64"/>
      <c r="BW222" s="64"/>
      <c r="BX222" s="64"/>
      <c r="BY222" s="64"/>
      <c r="BZ222" s="64"/>
      <c r="CA222" s="64"/>
      <c r="CB222" s="64"/>
      <c r="CC222" s="64"/>
      <c r="CD222" s="64"/>
      <c r="CE222" s="64"/>
      <c r="CF222" s="64"/>
      <c r="CG222" s="64"/>
      <c r="CH222" s="64"/>
      <c r="CI222" s="64"/>
      <c r="CJ222" s="64"/>
      <c r="CK222" s="64"/>
      <c r="CL222" s="64"/>
      <c r="CM222" s="64"/>
      <c r="CN222" s="64"/>
      <c r="CO222" s="64"/>
      <c r="CP222" s="64"/>
      <c r="CQ222" s="64"/>
      <c r="CR222" s="64"/>
      <c r="CS222" s="64"/>
      <c r="CT222" s="64"/>
      <c r="CU222" s="64"/>
      <c r="CV222" s="64"/>
      <c r="CW222" s="64"/>
      <c r="CX222" s="64"/>
      <c r="CY222" s="64"/>
      <c r="CZ222" s="64"/>
      <c r="DA222" s="64"/>
      <c r="DB222" s="64"/>
      <c r="DC222" s="64"/>
      <c r="DD222" s="64"/>
      <c r="DE222" s="64"/>
      <c r="DF222" s="64"/>
      <c r="DG222" s="64"/>
      <c r="DH222" s="64"/>
      <c r="DI222" s="64"/>
      <c r="DJ222" s="64"/>
      <c r="DK222" s="64"/>
      <c r="DL222" s="65"/>
      <c r="DM222" s="22"/>
      <c r="DN222" s="13"/>
      <c r="DO222" s="24"/>
    </row>
    <row r="223" spans="1:706" ht="4.5" customHeight="1" x14ac:dyDescent="0.15">
      <c r="A223" s="72"/>
      <c r="B223" s="4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13"/>
      <c r="DO223" s="13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  <c r="HI223" s="4"/>
      <c r="HJ223" s="4"/>
      <c r="HK223" s="4"/>
      <c r="HL223" s="4"/>
      <c r="HM223" s="4"/>
      <c r="HN223" s="4"/>
      <c r="HO223" s="4"/>
      <c r="HP223" s="4"/>
      <c r="HQ223" s="4"/>
      <c r="HR223" s="4"/>
      <c r="HS223" s="4"/>
      <c r="HT223" s="4"/>
      <c r="HU223" s="4"/>
      <c r="HV223" s="4"/>
      <c r="HW223" s="4"/>
      <c r="HX223" s="4"/>
      <c r="HY223" s="4"/>
      <c r="HZ223" s="4"/>
      <c r="IA223" s="4"/>
      <c r="IB223" s="4"/>
      <c r="IC223" s="4"/>
      <c r="ID223" s="4"/>
      <c r="IE223" s="4"/>
      <c r="IF223" s="4"/>
      <c r="IG223" s="4"/>
      <c r="IH223" s="4"/>
      <c r="II223" s="4"/>
      <c r="IJ223" s="4"/>
      <c r="IK223" s="4"/>
      <c r="IL223" s="4"/>
      <c r="IM223" s="4"/>
      <c r="IN223" s="4"/>
      <c r="IO223" s="4"/>
      <c r="IP223" s="4"/>
      <c r="IQ223" s="4"/>
      <c r="IR223" s="4"/>
      <c r="IS223" s="4"/>
      <c r="IT223" s="4"/>
      <c r="IU223" s="4"/>
      <c r="IV223" s="4"/>
      <c r="IW223" s="4"/>
      <c r="IX223" s="4"/>
      <c r="IY223" s="4"/>
      <c r="IZ223" s="4"/>
      <c r="JA223" s="4"/>
      <c r="JB223" s="4"/>
      <c r="JC223" s="4"/>
      <c r="JD223" s="4"/>
      <c r="JE223" s="4"/>
      <c r="JF223" s="4"/>
      <c r="JG223" s="4"/>
      <c r="JH223" s="4"/>
      <c r="JI223" s="4"/>
      <c r="JJ223" s="4"/>
      <c r="JK223" s="4"/>
      <c r="JL223" s="4"/>
      <c r="JM223" s="4"/>
      <c r="JN223" s="4"/>
      <c r="JO223" s="4"/>
      <c r="JP223" s="4"/>
      <c r="JQ223" s="4"/>
      <c r="JR223" s="4"/>
      <c r="JS223" s="4"/>
      <c r="JT223" s="4"/>
      <c r="JU223" s="4"/>
      <c r="JV223" s="4"/>
      <c r="JW223" s="4"/>
      <c r="JX223" s="4"/>
      <c r="JY223" s="4"/>
      <c r="JZ223" s="4"/>
      <c r="KA223" s="4"/>
      <c r="KB223" s="4"/>
      <c r="KC223" s="4"/>
      <c r="KD223" s="4"/>
      <c r="KE223" s="4"/>
      <c r="KF223" s="4"/>
      <c r="KG223" s="4"/>
      <c r="KH223" s="4"/>
      <c r="KI223" s="4"/>
      <c r="KJ223" s="4"/>
      <c r="KK223" s="4"/>
      <c r="KL223" s="4"/>
      <c r="KM223" s="4"/>
      <c r="KN223" s="4"/>
      <c r="KO223" s="4"/>
      <c r="KP223" s="4"/>
      <c r="KQ223" s="4"/>
      <c r="KR223" s="4"/>
      <c r="KS223" s="4"/>
      <c r="KT223" s="4"/>
      <c r="KU223" s="4"/>
      <c r="KV223" s="4"/>
      <c r="KW223" s="4"/>
      <c r="KX223" s="4"/>
      <c r="KY223" s="4"/>
      <c r="KZ223" s="4"/>
      <c r="LA223" s="4"/>
      <c r="LB223" s="4"/>
      <c r="LC223" s="4"/>
      <c r="LD223" s="4"/>
      <c r="LE223" s="4"/>
      <c r="LF223" s="4"/>
      <c r="LG223" s="4"/>
      <c r="LH223" s="4"/>
      <c r="LI223" s="4"/>
      <c r="LJ223" s="4"/>
      <c r="LK223" s="4"/>
      <c r="LL223" s="4"/>
      <c r="LM223" s="4"/>
      <c r="LN223" s="4"/>
      <c r="LO223" s="4"/>
      <c r="LP223" s="4"/>
      <c r="LQ223" s="4"/>
      <c r="LR223" s="4"/>
      <c r="LS223" s="4"/>
      <c r="LT223" s="4"/>
      <c r="LU223" s="4"/>
      <c r="LV223" s="4"/>
      <c r="LW223" s="4"/>
      <c r="LX223" s="4"/>
      <c r="LY223" s="4"/>
      <c r="LZ223" s="4"/>
      <c r="MA223" s="4"/>
      <c r="MB223" s="4"/>
      <c r="MC223" s="4"/>
      <c r="MD223" s="4"/>
      <c r="ME223" s="4"/>
      <c r="MF223" s="4"/>
      <c r="MG223" s="4"/>
      <c r="MH223" s="4"/>
      <c r="MI223" s="4"/>
      <c r="MJ223" s="4"/>
      <c r="MK223" s="4"/>
      <c r="ML223" s="4"/>
      <c r="MM223" s="4"/>
      <c r="MN223" s="4"/>
      <c r="MO223" s="4"/>
      <c r="MP223" s="4"/>
      <c r="MQ223" s="4"/>
      <c r="MR223" s="4"/>
      <c r="MS223" s="4"/>
      <c r="MT223" s="4"/>
      <c r="MU223" s="4"/>
      <c r="MV223" s="4"/>
      <c r="MW223" s="4"/>
      <c r="MX223" s="4"/>
      <c r="MY223" s="4"/>
      <c r="MZ223" s="4"/>
      <c r="NA223" s="4"/>
      <c r="NB223" s="4"/>
      <c r="NC223" s="4"/>
      <c r="ND223" s="4"/>
      <c r="NE223" s="4"/>
      <c r="NF223" s="4"/>
      <c r="NG223" s="4"/>
      <c r="NH223" s="4"/>
      <c r="NI223" s="4"/>
      <c r="NJ223" s="4"/>
      <c r="NK223" s="4"/>
      <c r="NL223" s="4"/>
      <c r="NM223" s="4"/>
      <c r="NN223" s="4"/>
      <c r="NO223" s="4"/>
      <c r="NP223" s="4"/>
      <c r="NQ223" s="4"/>
      <c r="NR223" s="4"/>
      <c r="NS223" s="4"/>
      <c r="NT223" s="4"/>
      <c r="NU223" s="4"/>
      <c r="NV223" s="4"/>
      <c r="NW223" s="4"/>
      <c r="NX223" s="4"/>
      <c r="NY223" s="4"/>
      <c r="NZ223" s="4"/>
      <c r="OA223" s="4"/>
      <c r="OB223" s="4"/>
      <c r="OC223" s="4"/>
      <c r="OD223" s="4"/>
      <c r="OE223" s="4"/>
      <c r="OF223" s="4"/>
      <c r="OG223" s="4"/>
      <c r="OH223" s="4"/>
      <c r="OI223" s="4"/>
      <c r="OJ223" s="4"/>
      <c r="OK223" s="4"/>
      <c r="OL223" s="4"/>
      <c r="OM223" s="4"/>
      <c r="ON223" s="4"/>
      <c r="OO223" s="4"/>
      <c r="OP223" s="4"/>
      <c r="OQ223" s="4"/>
      <c r="OR223" s="4"/>
      <c r="OS223" s="4"/>
      <c r="OT223" s="4"/>
      <c r="OU223" s="4"/>
      <c r="OV223" s="4"/>
      <c r="OW223" s="4"/>
      <c r="OX223" s="4"/>
      <c r="OY223" s="4"/>
      <c r="OZ223" s="4"/>
      <c r="PA223" s="4"/>
      <c r="PB223" s="4"/>
      <c r="PC223" s="4"/>
      <c r="PD223" s="4"/>
      <c r="PE223" s="4"/>
      <c r="PF223" s="4"/>
      <c r="PG223" s="4"/>
      <c r="PH223" s="4"/>
      <c r="PI223" s="4"/>
      <c r="PJ223" s="4"/>
      <c r="PK223" s="4"/>
      <c r="PL223" s="4"/>
      <c r="PM223" s="4"/>
      <c r="PN223" s="4"/>
      <c r="PO223" s="4"/>
      <c r="PP223" s="4"/>
      <c r="PQ223" s="4"/>
      <c r="PR223" s="4"/>
      <c r="PS223" s="4"/>
      <c r="PT223" s="4"/>
      <c r="PU223" s="4"/>
      <c r="PV223" s="4"/>
      <c r="PW223" s="4"/>
      <c r="PX223" s="4"/>
      <c r="PY223" s="4"/>
      <c r="PZ223" s="4"/>
      <c r="QA223" s="4"/>
      <c r="QB223" s="4"/>
      <c r="QC223" s="4"/>
      <c r="QD223" s="4"/>
      <c r="QE223" s="4"/>
      <c r="QF223" s="4"/>
      <c r="QG223" s="4"/>
      <c r="QH223" s="4"/>
      <c r="QI223" s="4"/>
      <c r="QJ223" s="4"/>
      <c r="QK223" s="4"/>
      <c r="QL223" s="4"/>
      <c r="QM223" s="4"/>
      <c r="QN223" s="4"/>
      <c r="QO223" s="4"/>
      <c r="QP223" s="4"/>
      <c r="QQ223" s="4"/>
      <c r="QR223" s="4"/>
      <c r="QS223" s="4"/>
      <c r="QT223" s="4"/>
      <c r="QU223" s="4"/>
      <c r="QV223" s="4"/>
      <c r="QW223" s="4"/>
      <c r="QX223" s="4"/>
      <c r="QY223" s="4"/>
      <c r="QZ223" s="4"/>
      <c r="RA223" s="4"/>
      <c r="RB223" s="4"/>
      <c r="RC223" s="4"/>
      <c r="RD223" s="4"/>
      <c r="RE223" s="4"/>
      <c r="RF223" s="4"/>
      <c r="RG223" s="4"/>
      <c r="RH223" s="4"/>
      <c r="RI223" s="4"/>
      <c r="RJ223" s="4"/>
      <c r="RK223" s="4"/>
      <c r="RL223" s="4"/>
      <c r="RM223" s="4"/>
      <c r="RN223" s="4"/>
      <c r="RO223" s="4"/>
      <c r="RP223" s="4"/>
      <c r="RQ223" s="4"/>
      <c r="RR223" s="4"/>
      <c r="RS223" s="4"/>
      <c r="RT223" s="4"/>
      <c r="RU223" s="4"/>
      <c r="RV223" s="4"/>
      <c r="RW223" s="4"/>
      <c r="RX223" s="4"/>
      <c r="RY223" s="4"/>
      <c r="RZ223" s="4"/>
      <c r="SA223" s="4"/>
      <c r="SB223" s="4"/>
      <c r="SC223" s="4"/>
      <c r="SD223" s="4"/>
      <c r="SE223" s="4"/>
      <c r="SF223" s="4"/>
      <c r="SG223" s="4"/>
      <c r="SH223" s="4"/>
      <c r="SI223" s="4"/>
      <c r="SJ223" s="4"/>
      <c r="SK223" s="4"/>
      <c r="SL223" s="4"/>
      <c r="SM223" s="4"/>
      <c r="SN223" s="4"/>
      <c r="SO223" s="4"/>
      <c r="SP223" s="4"/>
      <c r="SQ223" s="4"/>
      <c r="SR223" s="4"/>
      <c r="SS223" s="4"/>
      <c r="ST223" s="4"/>
      <c r="SU223" s="4"/>
      <c r="SV223" s="4"/>
      <c r="SW223" s="4"/>
      <c r="SX223" s="4"/>
      <c r="SY223" s="4"/>
      <c r="SZ223" s="4"/>
      <c r="TA223" s="4"/>
      <c r="TB223" s="4"/>
      <c r="TC223" s="4"/>
      <c r="TD223" s="4"/>
      <c r="TE223" s="4"/>
      <c r="TF223" s="4"/>
      <c r="TG223" s="4"/>
      <c r="TH223" s="4"/>
      <c r="TI223" s="4"/>
      <c r="TJ223" s="4"/>
      <c r="TK223" s="4"/>
      <c r="TL223" s="4"/>
      <c r="TM223" s="4"/>
      <c r="TN223" s="4"/>
      <c r="TO223" s="4"/>
      <c r="TP223" s="4"/>
      <c r="TQ223" s="4"/>
      <c r="TR223" s="4"/>
      <c r="TS223" s="4"/>
      <c r="TT223" s="4"/>
      <c r="TU223" s="4"/>
      <c r="TV223" s="4"/>
      <c r="TW223" s="4"/>
      <c r="TX223" s="4"/>
      <c r="TY223" s="4"/>
      <c r="TZ223" s="4"/>
      <c r="UA223" s="4"/>
      <c r="UB223" s="4"/>
      <c r="UC223" s="4"/>
      <c r="UD223" s="4"/>
      <c r="UE223" s="4"/>
      <c r="UF223" s="4"/>
      <c r="UG223" s="4"/>
      <c r="UH223" s="4"/>
      <c r="UI223" s="4"/>
      <c r="UJ223" s="4"/>
      <c r="UK223" s="4"/>
      <c r="UL223" s="4"/>
      <c r="UM223" s="4"/>
      <c r="UN223" s="4"/>
      <c r="UO223" s="4"/>
      <c r="UP223" s="4"/>
      <c r="UQ223" s="4"/>
      <c r="UR223" s="4"/>
      <c r="US223" s="4"/>
      <c r="UT223" s="4"/>
      <c r="UU223" s="4"/>
      <c r="UV223" s="4"/>
      <c r="UW223" s="4"/>
      <c r="UX223" s="4"/>
      <c r="UY223" s="4"/>
      <c r="UZ223" s="4"/>
      <c r="VA223" s="4"/>
      <c r="VB223" s="4"/>
      <c r="VC223" s="4"/>
      <c r="VD223" s="4"/>
      <c r="VE223" s="4"/>
      <c r="VF223" s="4"/>
      <c r="VG223" s="4"/>
      <c r="VH223" s="4"/>
      <c r="VI223" s="4"/>
      <c r="VJ223" s="4"/>
      <c r="VK223" s="4"/>
      <c r="VL223" s="4"/>
      <c r="VM223" s="4"/>
      <c r="VN223" s="4"/>
      <c r="VO223" s="4"/>
      <c r="VP223" s="4"/>
      <c r="VQ223" s="4"/>
      <c r="VR223" s="4"/>
      <c r="VS223" s="4"/>
      <c r="VT223" s="4"/>
      <c r="VU223" s="4"/>
      <c r="VV223" s="4"/>
      <c r="VW223" s="4"/>
      <c r="VX223" s="4"/>
      <c r="VY223" s="4"/>
      <c r="VZ223" s="4"/>
      <c r="WA223" s="4"/>
      <c r="WB223" s="4"/>
      <c r="WC223" s="4"/>
      <c r="WD223" s="4"/>
      <c r="WE223" s="4"/>
      <c r="WF223" s="4"/>
      <c r="WG223" s="4"/>
      <c r="WH223" s="4"/>
      <c r="WI223" s="4"/>
      <c r="WJ223" s="4"/>
      <c r="WK223" s="4"/>
      <c r="WL223" s="4"/>
      <c r="WM223" s="4"/>
      <c r="WN223" s="4"/>
      <c r="WO223" s="4"/>
      <c r="WP223" s="4"/>
      <c r="WQ223" s="4"/>
      <c r="WR223" s="4"/>
      <c r="WS223" s="4"/>
      <c r="WT223" s="4"/>
      <c r="WU223" s="4"/>
      <c r="WV223" s="4"/>
      <c r="WW223" s="4"/>
      <c r="WX223" s="4"/>
      <c r="WY223" s="4"/>
      <c r="WZ223" s="4"/>
      <c r="XA223" s="4"/>
      <c r="XB223" s="4"/>
      <c r="XC223" s="4"/>
      <c r="XD223" s="4"/>
      <c r="XE223" s="4"/>
      <c r="XF223" s="4"/>
      <c r="XG223" s="4"/>
      <c r="XH223" s="4"/>
      <c r="XI223" s="4"/>
      <c r="XJ223" s="4"/>
      <c r="XK223" s="4"/>
      <c r="XL223" s="4"/>
      <c r="XM223" s="4"/>
      <c r="XN223" s="4"/>
      <c r="XO223" s="4"/>
      <c r="XP223" s="4"/>
      <c r="XQ223" s="4"/>
      <c r="XR223" s="4"/>
      <c r="XS223" s="4"/>
      <c r="XT223" s="4"/>
      <c r="XU223" s="4"/>
      <c r="XV223" s="4"/>
      <c r="XW223" s="4"/>
      <c r="XX223" s="4"/>
      <c r="XY223" s="4"/>
      <c r="XZ223" s="4"/>
      <c r="YA223" s="4"/>
      <c r="YB223" s="4"/>
      <c r="YC223" s="4"/>
      <c r="YD223" s="4"/>
      <c r="YE223" s="4"/>
      <c r="YF223" s="4"/>
      <c r="YG223" s="4"/>
      <c r="YH223" s="4"/>
      <c r="YI223" s="4"/>
      <c r="YJ223" s="4"/>
      <c r="YK223" s="4"/>
      <c r="YL223" s="4"/>
      <c r="YM223" s="4"/>
      <c r="YN223" s="4"/>
      <c r="YO223" s="4"/>
      <c r="YP223" s="4"/>
      <c r="YQ223" s="4"/>
      <c r="YR223" s="4"/>
      <c r="YS223" s="4"/>
      <c r="YT223" s="4"/>
      <c r="YU223" s="4"/>
      <c r="YV223" s="4"/>
      <c r="YW223" s="4"/>
      <c r="YX223" s="4"/>
      <c r="YY223" s="4"/>
      <c r="YZ223" s="4"/>
      <c r="ZA223" s="4"/>
      <c r="ZB223" s="4"/>
      <c r="ZC223" s="4"/>
      <c r="ZD223" s="4"/>
      <c r="ZE223" s="4"/>
      <c r="ZF223" s="4"/>
      <c r="ZG223" s="4"/>
      <c r="ZH223" s="4"/>
      <c r="ZI223" s="4"/>
      <c r="ZJ223" s="4"/>
      <c r="ZK223" s="4"/>
      <c r="ZL223" s="4"/>
      <c r="ZM223" s="4"/>
      <c r="ZN223" s="4"/>
      <c r="ZO223" s="4"/>
      <c r="ZP223" s="4"/>
      <c r="ZQ223" s="4"/>
      <c r="ZR223" s="4"/>
      <c r="ZS223" s="4"/>
      <c r="ZT223" s="4"/>
      <c r="ZU223" s="4"/>
      <c r="ZV223" s="4"/>
      <c r="ZW223" s="4"/>
      <c r="ZX223" s="4"/>
      <c r="ZY223" s="4"/>
      <c r="ZZ223" s="4"/>
      <c r="AAA223" s="4"/>
      <c r="AAB223" s="4"/>
      <c r="AAC223" s="4"/>
      <c r="AAD223" s="4"/>
    </row>
    <row r="224" spans="1:706" ht="4.5" customHeight="1" x14ac:dyDescent="0.15">
      <c r="A224" s="67"/>
      <c r="C224" s="22"/>
      <c r="D224" s="58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  <c r="BN224" s="59"/>
      <c r="BO224" s="59"/>
      <c r="BP224" s="59"/>
      <c r="BQ224" s="59"/>
      <c r="BR224" s="59"/>
      <c r="BS224" s="59"/>
      <c r="BT224" s="59"/>
      <c r="BU224" s="59"/>
      <c r="BV224" s="59"/>
      <c r="BW224" s="59"/>
      <c r="BX224" s="59"/>
      <c r="BY224" s="59"/>
      <c r="BZ224" s="59"/>
      <c r="CA224" s="59"/>
      <c r="CB224" s="59"/>
      <c r="CC224" s="59"/>
      <c r="CD224" s="59"/>
      <c r="CE224" s="59"/>
      <c r="CF224" s="59"/>
      <c r="CG224" s="59"/>
      <c r="CH224" s="59"/>
      <c r="CI224" s="59"/>
      <c r="CJ224" s="59"/>
      <c r="CK224" s="59"/>
      <c r="CL224" s="59"/>
      <c r="CM224" s="59"/>
      <c r="CN224" s="59"/>
      <c r="CO224" s="59"/>
      <c r="CP224" s="59"/>
      <c r="CQ224" s="59"/>
      <c r="CR224" s="59"/>
      <c r="CS224" s="59"/>
      <c r="CT224" s="59"/>
      <c r="CU224" s="59"/>
      <c r="CV224" s="59"/>
      <c r="CW224" s="59"/>
      <c r="CX224" s="59"/>
      <c r="CY224" s="59"/>
      <c r="CZ224" s="59"/>
      <c r="DA224" s="59"/>
      <c r="DB224" s="59"/>
      <c r="DC224" s="59"/>
      <c r="DD224" s="59"/>
      <c r="DE224" s="59"/>
      <c r="DF224" s="59"/>
      <c r="DG224" s="59"/>
      <c r="DH224" s="59"/>
      <c r="DI224" s="59"/>
      <c r="DJ224" s="59"/>
      <c r="DK224" s="59"/>
      <c r="DL224" s="60"/>
      <c r="DM224" s="22"/>
      <c r="DN224" s="13"/>
      <c r="DO224" s="24"/>
    </row>
    <row r="225" spans="1:706" ht="21.75" customHeight="1" x14ac:dyDescent="0.15">
      <c r="A225" s="67"/>
      <c r="C225" s="22"/>
      <c r="D225" s="61"/>
      <c r="E225" s="207" t="s">
        <v>128</v>
      </c>
      <c r="F225" s="208"/>
      <c r="G225" s="208"/>
      <c r="H225" s="208"/>
      <c r="I225" s="208"/>
      <c r="J225" s="208"/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  <c r="Y225" s="208"/>
      <c r="Z225" s="208"/>
      <c r="AA225" s="208"/>
      <c r="AB225" s="208"/>
      <c r="AC225" s="208"/>
      <c r="AD225" s="208"/>
      <c r="AE225" s="209"/>
      <c r="AF225" s="74"/>
      <c r="AG225" s="212" t="str">
        <f>"درجة الأعمال الفصلية من ( "&amp;AY227&amp;" ) درجة"</f>
        <v>درجة الأعمال الفصلية من ( 60 ) درجة</v>
      </c>
      <c r="AH225" s="213"/>
      <c r="AI225" s="213"/>
      <c r="AJ225" s="213"/>
      <c r="AK225" s="213"/>
      <c r="AL225" s="213"/>
      <c r="AM225" s="213"/>
      <c r="AN225" s="213"/>
      <c r="AO225" s="213"/>
      <c r="AP225" s="213"/>
      <c r="AQ225" s="213"/>
      <c r="AR225" s="213"/>
      <c r="AS225" s="213"/>
      <c r="AT225" s="213"/>
      <c r="AU225" s="213"/>
      <c r="AV225" s="213"/>
      <c r="AW225" s="213"/>
      <c r="AX225" s="213"/>
      <c r="AY225" s="213"/>
      <c r="AZ225" s="213"/>
      <c r="BA225" s="213"/>
      <c r="BB225" s="213"/>
      <c r="BC225" s="213"/>
      <c r="BD225" s="213"/>
      <c r="BE225" s="213"/>
      <c r="BF225" s="213"/>
      <c r="BG225" s="214"/>
      <c r="BH225" s="74"/>
      <c r="BI225" s="212" t="str">
        <f>"درجة الاختبار النهائي من ( "&amp;CA227&amp;" ) درجة"</f>
        <v>درجة الاختبار النهائي من ( 40 ) درجة</v>
      </c>
      <c r="BJ225" s="213"/>
      <c r="BK225" s="213"/>
      <c r="BL225" s="213"/>
      <c r="BM225" s="213"/>
      <c r="BN225" s="213"/>
      <c r="BO225" s="213"/>
      <c r="BP225" s="213"/>
      <c r="BQ225" s="213"/>
      <c r="BR225" s="213"/>
      <c r="BS225" s="213"/>
      <c r="BT225" s="213"/>
      <c r="BU225" s="213"/>
      <c r="BV225" s="213"/>
      <c r="BW225" s="213"/>
      <c r="BX225" s="213"/>
      <c r="BY225" s="213"/>
      <c r="BZ225" s="213"/>
      <c r="CA225" s="213"/>
      <c r="CB225" s="213"/>
      <c r="CC225" s="213"/>
      <c r="CD225" s="213"/>
      <c r="CE225" s="213"/>
      <c r="CF225" s="213"/>
      <c r="CG225" s="213"/>
      <c r="CH225" s="213"/>
      <c r="CI225" s="214"/>
      <c r="CJ225" s="74"/>
      <c r="CK225" s="212" t="s">
        <v>129</v>
      </c>
      <c r="CL225" s="213"/>
      <c r="CM225" s="213"/>
      <c r="CN225" s="213"/>
      <c r="CO225" s="213"/>
      <c r="CP225" s="213"/>
      <c r="CQ225" s="213"/>
      <c r="CR225" s="213"/>
      <c r="CS225" s="213"/>
      <c r="CT225" s="213"/>
      <c r="CU225" s="213"/>
      <c r="CV225" s="213"/>
      <c r="CW225" s="213"/>
      <c r="CX225" s="213"/>
      <c r="CY225" s="213"/>
      <c r="CZ225" s="213"/>
      <c r="DA225" s="213"/>
      <c r="DB225" s="213"/>
      <c r="DC225" s="213"/>
      <c r="DD225" s="213"/>
      <c r="DE225" s="213"/>
      <c r="DF225" s="213"/>
      <c r="DG225" s="213"/>
      <c r="DH225" s="213"/>
      <c r="DI225" s="213"/>
      <c r="DJ225" s="213"/>
      <c r="DK225" s="214"/>
      <c r="DL225" s="62"/>
      <c r="DM225" s="22"/>
    </row>
    <row r="226" spans="1:706" ht="4.5" customHeight="1" x14ac:dyDescent="0.15">
      <c r="A226" s="67"/>
      <c r="C226" s="22"/>
      <c r="D226" s="61"/>
      <c r="E226" s="154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55"/>
      <c r="AF226" s="74"/>
      <c r="AG226" s="215"/>
      <c r="AH226" s="213"/>
      <c r="AI226" s="213"/>
      <c r="AJ226" s="213"/>
      <c r="AK226" s="213"/>
      <c r="AL226" s="213"/>
      <c r="AM226" s="213"/>
      <c r="AN226" s="213"/>
      <c r="AO226" s="213"/>
      <c r="AP226" s="213"/>
      <c r="AQ226" s="213"/>
      <c r="AR226" s="213"/>
      <c r="AS226" s="213"/>
      <c r="AT226" s="213"/>
      <c r="AU226" s="213"/>
      <c r="AV226" s="213"/>
      <c r="AW226" s="213"/>
      <c r="AX226" s="213"/>
      <c r="AY226" s="213"/>
      <c r="AZ226" s="213"/>
      <c r="BA226" s="213"/>
      <c r="BB226" s="213"/>
      <c r="BC226" s="213"/>
      <c r="BD226" s="213"/>
      <c r="BE226" s="213"/>
      <c r="BF226" s="213"/>
      <c r="BG226" s="214"/>
      <c r="BH226" s="74"/>
      <c r="BI226" s="215"/>
      <c r="BJ226" s="213"/>
      <c r="BK226" s="213"/>
      <c r="BL226" s="213"/>
      <c r="BM226" s="213"/>
      <c r="BN226" s="213"/>
      <c r="BO226" s="213"/>
      <c r="BP226" s="213"/>
      <c r="BQ226" s="213"/>
      <c r="BR226" s="213"/>
      <c r="BS226" s="213"/>
      <c r="BT226" s="213"/>
      <c r="BU226" s="213"/>
      <c r="BV226" s="213"/>
      <c r="BW226" s="213"/>
      <c r="BX226" s="213"/>
      <c r="BY226" s="213"/>
      <c r="BZ226" s="213"/>
      <c r="CA226" s="213"/>
      <c r="CB226" s="213"/>
      <c r="CC226" s="213"/>
      <c r="CD226" s="213"/>
      <c r="CE226" s="213"/>
      <c r="CF226" s="213"/>
      <c r="CG226" s="213"/>
      <c r="CH226" s="213"/>
      <c r="CI226" s="214"/>
      <c r="CJ226" s="74"/>
      <c r="CK226" s="215"/>
      <c r="CL226" s="213"/>
      <c r="CM226" s="213"/>
      <c r="CN226" s="213"/>
      <c r="CO226" s="213"/>
      <c r="CP226" s="213"/>
      <c r="CQ226" s="213"/>
      <c r="CR226" s="213"/>
      <c r="CS226" s="213"/>
      <c r="CT226" s="213"/>
      <c r="CU226" s="213"/>
      <c r="CV226" s="213"/>
      <c r="CW226" s="213"/>
      <c r="CX226" s="213"/>
      <c r="CY226" s="213"/>
      <c r="CZ226" s="213"/>
      <c r="DA226" s="213"/>
      <c r="DB226" s="213"/>
      <c r="DC226" s="213"/>
      <c r="DD226" s="213"/>
      <c r="DE226" s="213"/>
      <c r="DF226" s="213"/>
      <c r="DG226" s="213"/>
      <c r="DH226" s="213"/>
      <c r="DI226" s="213"/>
      <c r="DJ226" s="213"/>
      <c r="DK226" s="214"/>
      <c r="DL226" s="62"/>
      <c r="DM226" s="22"/>
    </row>
    <row r="227" spans="1:706" ht="21.75" customHeight="1" x14ac:dyDescent="0.15">
      <c r="A227" s="67"/>
      <c r="C227" s="22"/>
      <c r="D227" s="61"/>
      <c r="E227" s="154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55"/>
      <c r="AF227" s="74"/>
      <c r="AG227" s="75"/>
      <c r="AH227" s="186">
        <f>SUM($DF$152:$DF$219)-BJ227</f>
        <v>0</v>
      </c>
      <c r="AI227" s="106"/>
      <c r="AJ227" s="106"/>
      <c r="AK227" s="106"/>
      <c r="AL227" s="106"/>
      <c r="AM227" s="106"/>
      <c r="AN227" s="106"/>
      <c r="AO227" s="107"/>
      <c r="AP227" s="76"/>
      <c r="AQ227" s="187" t="s">
        <v>18</v>
      </c>
      <c r="AR227" s="106"/>
      <c r="AS227" s="106"/>
      <c r="AT227" s="106"/>
      <c r="AU227" s="106"/>
      <c r="AV227" s="106"/>
      <c r="AW227" s="107"/>
      <c r="AX227" s="77"/>
      <c r="AY227" s="203">
        <v>60</v>
      </c>
      <c r="AZ227" s="106"/>
      <c r="BA227" s="106"/>
      <c r="BB227" s="106"/>
      <c r="BC227" s="106"/>
      <c r="BD227" s="106"/>
      <c r="BE227" s="106"/>
      <c r="BF227" s="107"/>
      <c r="BG227" s="78"/>
      <c r="BH227" s="74"/>
      <c r="BI227" s="75"/>
      <c r="BJ227" s="204">
        <f>SUMIFS($DF$152:$DF$219,$CX$152:$CX$219,"اختبار نهائي")</f>
        <v>0</v>
      </c>
      <c r="BK227" s="106"/>
      <c r="BL227" s="106"/>
      <c r="BM227" s="106"/>
      <c r="BN227" s="106"/>
      <c r="BO227" s="106"/>
      <c r="BP227" s="106"/>
      <c r="BQ227" s="107"/>
      <c r="BR227" s="76"/>
      <c r="BS227" s="187" t="s">
        <v>18</v>
      </c>
      <c r="BT227" s="106"/>
      <c r="BU227" s="106"/>
      <c r="BV227" s="106"/>
      <c r="BW227" s="106"/>
      <c r="BX227" s="106"/>
      <c r="BY227" s="107"/>
      <c r="BZ227" s="76"/>
      <c r="CA227" s="203">
        <v>40</v>
      </c>
      <c r="CB227" s="106"/>
      <c r="CC227" s="106"/>
      <c r="CD227" s="106"/>
      <c r="CE227" s="106"/>
      <c r="CF227" s="106"/>
      <c r="CG227" s="106"/>
      <c r="CH227" s="107"/>
      <c r="CI227" s="78"/>
      <c r="CJ227" s="74"/>
      <c r="CK227" s="75"/>
      <c r="CL227" s="186">
        <f>AH227+BJ227</f>
        <v>0</v>
      </c>
      <c r="CM227" s="106"/>
      <c r="CN227" s="106"/>
      <c r="CO227" s="106"/>
      <c r="CP227" s="106"/>
      <c r="CQ227" s="106"/>
      <c r="CR227" s="106"/>
      <c r="CS227" s="107"/>
      <c r="CT227" s="76"/>
      <c r="CU227" s="205" t="s">
        <v>18</v>
      </c>
      <c r="CV227" s="106"/>
      <c r="CW227" s="106"/>
      <c r="CX227" s="106"/>
      <c r="CY227" s="106"/>
      <c r="CZ227" s="106"/>
      <c r="DA227" s="107"/>
      <c r="DB227" s="76"/>
      <c r="DC227" s="186">
        <f>SUM(AH227,BJ227)</f>
        <v>0</v>
      </c>
      <c r="DD227" s="106"/>
      <c r="DE227" s="106"/>
      <c r="DF227" s="106"/>
      <c r="DG227" s="106"/>
      <c r="DH227" s="106"/>
      <c r="DI227" s="106"/>
      <c r="DJ227" s="107"/>
      <c r="DK227" s="78"/>
      <c r="DL227" s="62"/>
      <c r="DM227" s="22"/>
    </row>
    <row r="228" spans="1:706" ht="4.5" customHeight="1" x14ac:dyDescent="0.15">
      <c r="A228" s="67"/>
      <c r="C228" s="22"/>
      <c r="D228" s="61"/>
      <c r="E228" s="210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211"/>
      <c r="AF228" s="74"/>
      <c r="AG228" s="79"/>
      <c r="AH228" s="80"/>
      <c r="AI228" s="80"/>
      <c r="AJ228" s="80"/>
      <c r="AK228" s="80"/>
      <c r="AL228" s="80"/>
      <c r="AM228" s="80"/>
      <c r="AN228" s="80"/>
      <c r="AO228" s="80"/>
      <c r="AP228" s="80"/>
      <c r="AQ228" s="80"/>
      <c r="AR228" s="80"/>
      <c r="AS228" s="80"/>
      <c r="AT228" s="80"/>
      <c r="AU228" s="80"/>
      <c r="AV228" s="80"/>
      <c r="AW228" s="80"/>
      <c r="AX228" s="80"/>
      <c r="AY228" s="80"/>
      <c r="AZ228" s="80"/>
      <c r="BA228" s="80"/>
      <c r="BB228" s="80"/>
      <c r="BC228" s="80"/>
      <c r="BD228" s="80"/>
      <c r="BE228" s="80"/>
      <c r="BF228" s="80"/>
      <c r="BG228" s="81"/>
      <c r="BH228" s="74"/>
      <c r="BI228" s="79"/>
      <c r="BJ228" s="82"/>
      <c r="BK228" s="83"/>
      <c r="BL228" s="83"/>
      <c r="BM228" s="83"/>
      <c r="BN228" s="83"/>
      <c r="BO228" s="84"/>
      <c r="BP228" s="84"/>
      <c r="BQ228" s="84"/>
      <c r="BR228" s="84"/>
      <c r="BS228" s="84"/>
      <c r="BT228" s="84"/>
      <c r="BU228" s="84"/>
      <c r="BV228" s="84"/>
      <c r="BW228" s="84"/>
      <c r="BX228" s="84"/>
      <c r="BY228" s="84"/>
      <c r="BZ228" s="84"/>
      <c r="CA228" s="84"/>
      <c r="CB228" s="84"/>
      <c r="CC228" s="84"/>
      <c r="CD228" s="84"/>
      <c r="CE228" s="84"/>
      <c r="CF228" s="84"/>
      <c r="CG228" s="84"/>
      <c r="CH228" s="84"/>
      <c r="CI228" s="85"/>
      <c r="CJ228" s="74"/>
      <c r="CK228" s="86"/>
      <c r="CL228" s="84"/>
      <c r="CM228" s="84"/>
      <c r="CN228" s="84"/>
      <c r="CO228" s="84"/>
      <c r="CP228" s="84"/>
      <c r="CQ228" s="84"/>
      <c r="CR228" s="84"/>
      <c r="CS228" s="84"/>
      <c r="CT228" s="84"/>
      <c r="CU228" s="84"/>
      <c r="CV228" s="84"/>
      <c r="CW228" s="84"/>
      <c r="CX228" s="84"/>
      <c r="CY228" s="84"/>
      <c r="CZ228" s="84"/>
      <c r="DA228" s="84"/>
      <c r="DB228" s="84"/>
      <c r="DC228" s="84"/>
      <c r="DD228" s="84"/>
      <c r="DE228" s="84"/>
      <c r="DF228" s="84"/>
      <c r="DG228" s="84"/>
      <c r="DH228" s="84"/>
      <c r="DI228" s="84"/>
      <c r="DJ228" s="84"/>
      <c r="DK228" s="85"/>
      <c r="DL228" s="62"/>
      <c r="DM228" s="22"/>
      <c r="DN228" s="13"/>
      <c r="DO228" s="24"/>
    </row>
    <row r="229" spans="1:706" ht="4.5" customHeight="1" x14ac:dyDescent="0.15">
      <c r="A229" s="67"/>
      <c r="C229" s="22"/>
      <c r="D229" s="63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AV229" s="64"/>
      <c r="AW229" s="64"/>
      <c r="AX229" s="64"/>
      <c r="AY229" s="64"/>
      <c r="AZ229" s="64"/>
      <c r="BA229" s="64"/>
      <c r="BB229" s="64"/>
      <c r="BC229" s="64"/>
      <c r="BD229" s="64"/>
      <c r="BE229" s="64"/>
      <c r="BF229" s="64"/>
      <c r="BG229" s="64"/>
      <c r="BH229" s="64"/>
      <c r="BI229" s="64"/>
      <c r="BJ229" s="64"/>
      <c r="BK229" s="64"/>
      <c r="BL229" s="64"/>
      <c r="BM229" s="64"/>
      <c r="BN229" s="64"/>
      <c r="BO229" s="64"/>
      <c r="BP229" s="64"/>
      <c r="BQ229" s="64"/>
      <c r="BR229" s="64"/>
      <c r="BS229" s="64"/>
      <c r="BT229" s="64"/>
      <c r="BU229" s="64"/>
      <c r="BV229" s="64"/>
      <c r="BW229" s="64"/>
      <c r="BX229" s="64"/>
      <c r="BY229" s="64"/>
      <c r="BZ229" s="64"/>
      <c r="CA229" s="64"/>
      <c r="CB229" s="64"/>
      <c r="CC229" s="64"/>
      <c r="CD229" s="64"/>
      <c r="CE229" s="64"/>
      <c r="CF229" s="64"/>
      <c r="CG229" s="64"/>
      <c r="CH229" s="64"/>
      <c r="CI229" s="64"/>
      <c r="CJ229" s="64"/>
      <c r="CK229" s="64"/>
      <c r="CL229" s="64"/>
      <c r="CM229" s="64"/>
      <c r="CN229" s="64"/>
      <c r="CO229" s="64"/>
      <c r="CP229" s="64"/>
      <c r="CQ229" s="64"/>
      <c r="CR229" s="64"/>
      <c r="CS229" s="64"/>
      <c r="CT229" s="64"/>
      <c r="CU229" s="64"/>
      <c r="CV229" s="64"/>
      <c r="CW229" s="64"/>
      <c r="CX229" s="64"/>
      <c r="CY229" s="64"/>
      <c r="CZ229" s="64"/>
      <c r="DA229" s="64"/>
      <c r="DB229" s="64"/>
      <c r="DC229" s="64"/>
      <c r="DD229" s="64"/>
      <c r="DE229" s="64"/>
      <c r="DF229" s="64"/>
      <c r="DG229" s="64"/>
      <c r="DH229" s="64"/>
      <c r="DI229" s="64"/>
      <c r="DJ229" s="64"/>
      <c r="DK229" s="64"/>
      <c r="DL229" s="65"/>
      <c r="DM229" s="22"/>
      <c r="DN229" s="13"/>
      <c r="DO229" s="24"/>
    </row>
    <row r="230" spans="1:706" ht="4.5" customHeight="1" x14ac:dyDescent="0.15">
      <c r="A230" s="72"/>
      <c r="B230" s="4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13"/>
      <c r="DO230" s="13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  <c r="HG230" s="4"/>
      <c r="HH230" s="4"/>
      <c r="HI230" s="4"/>
      <c r="HJ230" s="4"/>
      <c r="HK230" s="4"/>
      <c r="HL230" s="4"/>
      <c r="HM230" s="4"/>
      <c r="HN230" s="4"/>
      <c r="HO230" s="4"/>
      <c r="HP230" s="4"/>
      <c r="HQ230" s="4"/>
      <c r="HR230" s="4"/>
      <c r="HS230" s="4"/>
      <c r="HT230" s="4"/>
      <c r="HU230" s="4"/>
      <c r="HV230" s="4"/>
      <c r="HW230" s="4"/>
      <c r="HX230" s="4"/>
      <c r="HY230" s="4"/>
      <c r="HZ230" s="4"/>
      <c r="IA230" s="4"/>
      <c r="IB230" s="4"/>
      <c r="IC230" s="4"/>
      <c r="ID230" s="4"/>
      <c r="IE230" s="4"/>
      <c r="IF230" s="4"/>
      <c r="IG230" s="4"/>
      <c r="IH230" s="4"/>
      <c r="II230" s="4"/>
      <c r="IJ230" s="4"/>
      <c r="IK230" s="4"/>
      <c r="IL230" s="4"/>
      <c r="IM230" s="4"/>
      <c r="IN230" s="4"/>
      <c r="IO230" s="4"/>
      <c r="IP230" s="4"/>
      <c r="IQ230" s="4"/>
      <c r="IR230" s="4"/>
      <c r="IS230" s="4"/>
      <c r="IT230" s="4"/>
      <c r="IU230" s="4"/>
      <c r="IV230" s="4"/>
      <c r="IW230" s="4"/>
      <c r="IX230" s="4"/>
      <c r="IY230" s="4"/>
      <c r="IZ230" s="4"/>
      <c r="JA230" s="4"/>
      <c r="JB230" s="4"/>
      <c r="JC230" s="4"/>
      <c r="JD230" s="4"/>
      <c r="JE230" s="4"/>
      <c r="JF230" s="4"/>
      <c r="JG230" s="4"/>
      <c r="JH230" s="4"/>
      <c r="JI230" s="4"/>
      <c r="JJ230" s="4"/>
      <c r="JK230" s="4"/>
      <c r="JL230" s="4"/>
      <c r="JM230" s="4"/>
      <c r="JN230" s="4"/>
      <c r="JO230" s="4"/>
      <c r="JP230" s="4"/>
      <c r="JQ230" s="4"/>
      <c r="JR230" s="4"/>
      <c r="JS230" s="4"/>
      <c r="JT230" s="4"/>
      <c r="JU230" s="4"/>
      <c r="JV230" s="4"/>
      <c r="JW230" s="4"/>
      <c r="JX230" s="4"/>
      <c r="JY230" s="4"/>
      <c r="JZ230" s="4"/>
      <c r="KA230" s="4"/>
      <c r="KB230" s="4"/>
      <c r="KC230" s="4"/>
      <c r="KD230" s="4"/>
      <c r="KE230" s="4"/>
      <c r="KF230" s="4"/>
      <c r="KG230" s="4"/>
      <c r="KH230" s="4"/>
      <c r="KI230" s="4"/>
      <c r="KJ230" s="4"/>
      <c r="KK230" s="4"/>
      <c r="KL230" s="4"/>
      <c r="KM230" s="4"/>
      <c r="KN230" s="4"/>
      <c r="KO230" s="4"/>
      <c r="KP230" s="4"/>
      <c r="KQ230" s="4"/>
      <c r="KR230" s="4"/>
      <c r="KS230" s="4"/>
      <c r="KT230" s="4"/>
      <c r="KU230" s="4"/>
      <c r="KV230" s="4"/>
      <c r="KW230" s="4"/>
      <c r="KX230" s="4"/>
      <c r="KY230" s="4"/>
      <c r="KZ230" s="4"/>
      <c r="LA230" s="4"/>
      <c r="LB230" s="4"/>
      <c r="LC230" s="4"/>
      <c r="LD230" s="4"/>
      <c r="LE230" s="4"/>
      <c r="LF230" s="4"/>
      <c r="LG230" s="4"/>
      <c r="LH230" s="4"/>
      <c r="LI230" s="4"/>
      <c r="LJ230" s="4"/>
      <c r="LK230" s="4"/>
      <c r="LL230" s="4"/>
      <c r="LM230" s="4"/>
      <c r="LN230" s="4"/>
      <c r="LO230" s="4"/>
      <c r="LP230" s="4"/>
      <c r="LQ230" s="4"/>
      <c r="LR230" s="4"/>
      <c r="LS230" s="4"/>
      <c r="LT230" s="4"/>
      <c r="LU230" s="4"/>
      <c r="LV230" s="4"/>
      <c r="LW230" s="4"/>
      <c r="LX230" s="4"/>
      <c r="LY230" s="4"/>
      <c r="LZ230" s="4"/>
      <c r="MA230" s="4"/>
      <c r="MB230" s="4"/>
      <c r="MC230" s="4"/>
      <c r="MD230" s="4"/>
      <c r="ME230" s="4"/>
      <c r="MF230" s="4"/>
      <c r="MG230" s="4"/>
      <c r="MH230" s="4"/>
      <c r="MI230" s="4"/>
      <c r="MJ230" s="4"/>
      <c r="MK230" s="4"/>
      <c r="ML230" s="4"/>
      <c r="MM230" s="4"/>
      <c r="MN230" s="4"/>
      <c r="MO230" s="4"/>
      <c r="MP230" s="4"/>
      <c r="MQ230" s="4"/>
      <c r="MR230" s="4"/>
      <c r="MS230" s="4"/>
      <c r="MT230" s="4"/>
      <c r="MU230" s="4"/>
      <c r="MV230" s="4"/>
      <c r="MW230" s="4"/>
      <c r="MX230" s="4"/>
      <c r="MY230" s="4"/>
      <c r="MZ230" s="4"/>
      <c r="NA230" s="4"/>
      <c r="NB230" s="4"/>
      <c r="NC230" s="4"/>
      <c r="ND230" s="4"/>
      <c r="NE230" s="4"/>
      <c r="NF230" s="4"/>
      <c r="NG230" s="4"/>
      <c r="NH230" s="4"/>
      <c r="NI230" s="4"/>
      <c r="NJ230" s="4"/>
      <c r="NK230" s="4"/>
      <c r="NL230" s="4"/>
      <c r="NM230" s="4"/>
      <c r="NN230" s="4"/>
      <c r="NO230" s="4"/>
      <c r="NP230" s="4"/>
      <c r="NQ230" s="4"/>
      <c r="NR230" s="4"/>
      <c r="NS230" s="4"/>
      <c r="NT230" s="4"/>
      <c r="NU230" s="4"/>
      <c r="NV230" s="4"/>
      <c r="NW230" s="4"/>
      <c r="NX230" s="4"/>
      <c r="NY230" s="4"/>
      <c r="NZ230" s="4"/>
      <c r="OA230" s="4"/>
      <c r="OB230" s="4"/>
      <c r="OC230" s="4"/>
      <c r="OD230" s="4"/>
      <c r="OE230" s="4"/>
      <c r="OF230" s="4"/>
      <c r="OG230" s="4"/>
      <c r="OH230" s="4"/>
      <c r="OI230" s="4"/>
      <c r="OJ230" s="4"/>
      <c r="OK230" s="4"/>
      <c r="OL230" s="4"/>
      <c r="OM230" s="4"/>
      <c r="ON230" s="4"/>
      <c r="OO230" s="4"/>
      <c r="OP230" s="4"/>
      <c r="OQ230" s="4"/>
      <c r="OR230" s="4"/>
      <c r="OS230" s="4"/>
      <c r="OT230" s="4"/>
      <c r="OU230" s="4"/>
      <c r="OV230" s="4"/>
      <c r="OW230" s="4"/>
      <c r="OX230" s="4"/>
      <c r="OY230" s="4"/>
      <c r="OZ230" s="4"/>
      <c r="PA230" s="4"/>
      <c r="PB230" s="4"/>
      <c r="PC230" s="4"/>
      <c r="PD230" s="4"/>
      <c r="PE230" s="4"/>
      <c r="PF230" s="4"/>
      <c r="PG230" s="4"/>
      <c r="PH230" s="4"/>
      <c r="PI230" s="4"/>
      <c r="PJ230" s="4"/>
      <c r="PK230" s="4"/>
      <c r="PL230" s="4"/>
      <c r="PM230" s="4"/>
      <c r="PN230" s="4"/>
      <c r="PO230" s="4"/>
      <c r="PP230" s="4"/>
      <c r="PQ230" s="4"/>
      <c r="PR230" s="4"/>
      <c r="PS230" s="4"/>
      <c r="PT230" s="4"/>
      <c r="PU230" s="4"/>
      <c r="PV230" s="4"/>
      <c r="PW230" s="4"/>
      <c r="PX230" s="4"/>
      <c r="PY230" s="4"/>
      <c r="PZ230" s="4"/>
      <c r="QA230" s="4"/>
      <c r="QB230" s="4"/>
      <c r="QC230" s="4"/>
      <c r="QD230" s="4"/>
      <c r="QE230" s="4"/>
      <c r="QF230" s="4"/>
      <c r="QG230" s="4"/>
      <c r="QH230" s="4"/>
      <c r="QI230" s="4"/>
      <c r="QJ230" s="4"/>
      <c r="QK230" s="4"/>
      <c r="QL230" s="4"/>
      <c r="QM230" s="4"/>
      <c r="QN230" s="4"/>
      <c r="QO230" s="4"/>
      <c r="QP230" s="4"/>
      <c r="QQ230" s="4"/>
      <c r="QR230" s="4"/>
      <c r="QS230" s="4"/>
      <c r="QT230" s="4"/>
      <c r="QU230" s="4"/>
      <c r="QV230" s="4"/>
      <c r="QW230" s="4"/>
      <c r="QX230" s="4"/>
      <c r="QY230" s="4"/>
      <c r="QZ230" s="4"/>
      <c r="RA230" s="4"/>
      <c r="RB230" s="4"/>
      <c r="RC230" s="4"/>
      <c r="RD230" s="4"/>
      <c r="RE230" s="4"/>
      <c r="RF230" s="4"/>
      <c r="RG230" s="4"/>
      <c r="RH230" s="4"/>
      <c r="RI230" s="4"/>
      <c r="RJ230" s="4"/>
      <c r="RK230" s="4"/>
      <c r="RL230" s="4"/>
      <c r="RM230" s="4"/>
      <c r="RN230" s="4"/>
      <c r="RO230" s="4"/>
      <c r="RP230" s="4"/>
      <c r="RQ230" s="4"/>
      <c r="RR230" s="4"/>
      <c r="RS230" s="4"/>
      <c r="RT230" s="4"/>
      <c r="RU230" s="4"/>
      <c r="RV230" s="4"/>
      <c r="RW230" s="4"/>
      <c r="RX230" s="4"/>
      <c r="RY230" s="4"/>
      <c r="RZ230" s="4"/>
      <c r="SA230" s="4"/>
      <c r="SB230" s="4"/>
      <c r="SC230" s="4"/>
      <c r="SD230" s="4"/>
      <c r="SE230" s="4"/>
      <c r="SF230" s="4"/>
      <c r="SG230" s="4"/>
      <c r="SH230" s="4"/>
      <c r="SI230" s="4"/>
      <c r="SJ230" s="4"/>
      <c r="SK230" s="4"/>
      <c r="SL230" s="4"/>
      <c r="SM230" s="4"/>
      <c r="SN230" s="4"/>
      <c r="SO230" s="4"/>
      <c r="SP230" s="4"/>
      <c r="SQ230" s="4"/>
      <c r="SR230" s="4"/>
      <c r="SS230" s="4"/>
      <c r="ST230" s="4"/>
      <c r="SU230" s="4"/>
      <c r="SV230" s="4"/>
      <c r="SW230" s="4"/>
      <c r="SX230" s="4"/>
      <c r="SY230" s="4"/>
      <c r="SZ230" s="4"/>
      <c r="TA230" s="4"/>
      <c r="TB230" s="4"/>
      <c r="TC230" s="4"/>
      <c r="TD230" s="4"/>
      <c r="TE230" s="4"/>
      <c r="TF230" s="4"/>
      <c r="TG230" s="4"/>
      <c r="TH230" s="4"/>
      <c r="TI230" s="4"/>
      <c r="TJ230" s="4"/>
      <c r="TK230" s="4"/>
      <c r="TL230" s="4"/>
      <c r="TM230" s="4"/>
      <c r="TN230" s="4"/>
      <c r="TO230" s="4"/>
      <c r="TP230" s="4"/>
      <c r="TQ230" s="4"/>
      <c r="TR230" s="4"/>
      <c r="TS230" s="4"/>
      <c r="TT230" s="4"/>
      <c r="TU230" s="4"/>
      <c r="TV230" s="4"/>
      <c r="TW230" s="4"/>
      <c r="TX230" s="4"/>
      <c r="TY230" s="4"/>
      <c r="TZ230" s="4"/>
      <c r="UA230" s="4"/>
      <c r="UB230" s="4"/>
      <c r="UC230" s="4"/>
      <c r="UD230" s="4"/>
      <c r="UE230" s="4"/>
      <c r="UF230" s="4"/>
      <c r="UG230" s="4"/>
      <c r="UH230" s="4"/>
      <c r="UI230" s="4"/>
      <c r="UJ230" s="4"/>
      <c r="UK230" s="4"/>
      <c r="UL230" s="4"/>
      <c r="UM230" s="4"/>
      <c r="UN230" s="4"/>
      <c r="UO230" s="4"/>
      <c r="UP230" s="4"/>
      <c r="UQ230" s="4"/>
      <c r="UR230" s="4"/>
      <c r="US230" s="4"/>
      <c r="UT230" s="4"/>
      <c r="UU230" s="4"/>
      <c r="UV230" s="4"/>
      <c r="UW230" s="4"/>
      <c r="UX230" s="4"/>
      <c r="UY230" s="4"/>
      <c r="UZ230" s="4"/>
      <c r="VA230" s="4"/>
      <c r="VB230" s="4"/>
      <c r="VC230" s="4"/>
      <c r="VD230" s="4"/>
      <c r="VE230" s="4"/>
      <c r="VF230" s="4"/>
      <c r="VG230" s="4"/>
      <c r="VH230" s="4"/>
      <c r="VI230" s="4"/>
      <c r="VJ230" s="4"/>
      <c r="VK230" s="4"/>
      <c r="VL230" s="4"/>
      <c r="VM230" s="4"/>
      <c r="VN230" s="4"/>
      <c r="VO230" s="4"/>
      <c r="VP230" s="4"/>
      <c r="VQ230" s="4"/>
      <c r="VR230" s="4"/>
      <c r="VS230" s="4"/>
      <c r="VT230" s="4"/>
      <c r="VU230" s="4"/>
      <c r="VV230" s="4"/>
      <c r="VW230" s="4"/>
      <c r="VX230" s="4"/>
      <c r="VY230" s="4"/>
      <c r="VZ230" s="4"/>
      <c r="WA230" s="4"/>
      <c r="WB230" s="4"/>
      <c r="WC230" s="4"/>
      <c r="WD230" s="4"/>
      <c r="WE230" s="4"/>
      <c r="WF230" s="4"/>
      <c r="WG230" s="4"/>
      <c r="WH230" s="4"/>
      <c r="WI230" s="4"/>
      <c r="WJ230" s="4"/>
      <c r="WK230" s="4"/>
      <c r="WL230" s="4"/>
      <c r="WM230" s="4"/>
      <c r="WN230" s="4"/>
      <c r="WO230" s="4"/>
      <c r="WP230" s="4"/>
      <c r="WQ230" s="4"/>
      <c r="WR230" s="4"/>
      <c r="WS230" s="4"/>
      <c r="WT230" s="4"/>
      <c r="WU230" s="4"/>
      <c r="WV230" s="4"/>
      <c r="WW230" s="4"/>
      <c r="WX230" s="4"/>
      <c r="WY230" s="4"/>
      <c r="WZ230" s="4"/>
      <c r="XA230" s="4"/>
      <c r="XB230" s="4"/>
      <c r="XC230" s="4"/>
      <c r="XD230" s="4"/>
      <c r="XE230" s="4"/>
      <c r="XF230" s="4"/>
      <c r="XG230" s="4"/>
      <c r="XH230" s="4"/>
      <c r="XI230" s="4"/>
      <c r="XJ230" s="4"/>
      <c r="XK230" s="4"/>
      <c r="XL230" s="4"/>
      <c r="XM230" s="4"/>
      <c r="XN230" s="4"/>
      <c r="XO230" s="4"/>
      <c r="XP230" s="4"/>
      <c r="XQ230" s="4"/>
      <c r="XR230" s="4"/>
      <c r="XS230" s="4"/>
      <c r="XT230" s="4"/>
      <c r="XU230" s="4"/>
      <c r="XV230" s="4"/>
      <c r="XW230" s="4"/>
      <c r="XX230" s="4"/>
      <c r="XY230" s="4"/>
      <c r="XZ230" s="4"/>
      <c r="YA230" s="4"/>
      <c r="YB230" s="4"/>
      <c r="YC230" s="4"/>
      <c r="YD230" s="4"/>
      <c r="YE230" s="4"/>
      <c r="YF230" s="4"/>
      <c r="YG230" s="4"/>
      <c r="YH230" s="4"/>
      <c r="YI230" s="4"/>
      <c r="YJ230" s="4"/>
      <c r="YK230" s="4"/>
      <c r="YL230" s="4"/>
      <c r="YM230" s="4"/>
      <c r="YN230" s="4"/>
      <c r="YO230" s="4"/>
      <c r="YP230" s="4"/>
      <c r="YQ230" s="4"/>
      <c r="YR230" s="4"/>
      <c r="YS230" s="4"/>
      <c r="YT230" s="4"/>
      <c r="YU230" s="4"/>
      <c r="YV230" s="4"/>
      <c r="YW230" s="4"/>
      <c r="YX230" s="4"/>
      <c r="YY230" s="4"/>
      <c r="YZ230" s="4"/>
      <c r="ZA230" s="4"/>
      <c r="ZB230" s="4"/>
      <c r="ZC230" s="4"/>
      <c r="ZD230" s="4"/>
      <c r="ZE230" s="4"/>
      <c r="ZF230" s="4"/>
      <c r="ZG230" s="4"/>
      <c r="ZH230" s="4"/>
      <c r="ZI230" s="4"/>
      <c r="ZJ230" s="4"/>
      <c r="ZK230" s="4"/>
      <c r="ZL230" s="4"/>
      <c r="ZM230" s="4"/>
      <c r="ZN230" s="4"/>
      <c r="ZO230" s="4"/>
      <c r="ZP230" s="4"/>
      <c r="ZQ230" s="4"/>
      <c r="ZR230" s="4"/>
      <c r="ZS230" s="4"/>
      <c r="ZT230" s="4"/>
      <c r="ZU230" s="4"/>
      <c r="ZV230" s="4"/>
      <c r="ZW230" s="4"/>
      <c r="ZX230" s="4"/>
      <c r="ZY230" s="4"/>
      <c r="ZZ230" s="4"/>
      <c r="AAA230" s="4"/>
      <c r="AAB230" s="4"/>
      <c r="AAC230" s="4"/>
      <c r="AAD230" s="4"/>
    </row>
    <row r="231" spans="1:706" ht="4.5" customHeight="1" x14ac:dyDescent="0.15">
      <c r="DN231" s="13"/>
    </row>
    <row r="232" spans="1:706" ht="4.5" customHeight="1" x14ac:dyDescent="0.15">
      <c r="DN232" s="13"/>
    </row>
    <row r="233" spans="1:706" ht="15" customHeight="1" x14ac:dyDescent="0.15">
      <c r="A233" s="4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4"/>
      <c r="HO233" s="4"/>
      <c r="HP233" s="4"/>
      <c r="HQ233" s="4"/>
      <c r="HR233" s="4"/>
      <c r="HS233" s="4"/>
      <c r="HT233" s="4"/>
      <c r="HU233" s="4"/>
      <c r="HV233" s="4"/>
      <c r="HW233" s="4"/>
      <c r="HX233" s="4"/>
      <c r="HY233" s="4"/>
      <c r="HZ233" s="4"/>
      <c r="IA233" s="4"/>
      <c r="IB233" s="4"/>
      <c r="IC233" s="4"/>
      <c r="ID233" s="4"/>
      <c r="IE233" s="4"/>
      <c r="IF233" s="4"/>
      <c r="IG233" s="4"/>
      <c r="IH233" s="4"/>
      <c r="II233" s="4"/>
      <c r="IJ233" s="4"/>
      <c r="IK233" s="4"/>
      <c r="IL233" s="4"/>
      <c r="IM233" s="4"/>
      <c r="IN233" s="4"/>
      <c r="IO233" s="4"/>
      <c r="IP233" s="4"/>
      <c r="IQ233" s="4"/>
      <c r="IR233" s="4"/>
      <c r="IS233" s="4"/>
      <c r="IT233" s="4"/>
      <c r="IU233" s="4"/>
      <c r="IV233" s="4"/>
      <c r="IW233" s="4"/>
      <c r="IX233" s="4"/>
      <c r="IY233" s="4"/>
      <c r="IZ233" s="4"/>
      <c r="JA233" s="4"/>
      <c r="JB233" s="4"/>
      <c r="JC233" s="4"/>
      <c r="JD233" s="4"/>
      <c r="JE233" s="4"/>
      <c r="JF233" s="4"/>
      <c r="JG233" s="4"/>
      <c r="JH233" s="4"/>
      <c r="JI233" s="4"/>
      <c r="JJ233" s="4"/>
      <c r="JK233" s="4"/>
      <c r="JL233" s="4"/>
      <c r="JM233" s="4"/>
      <c r="JN233" s="4"/>
      <c r="JO233" s="4"/>
      <c r="JP233" s="4"/>
      <c r="JQ233" s="4"/>
      <c r="JR233" s="4"/>
      <c r="JS233" s="4"/>
      <c r="JT233" s="4"/>
      <c r="JU233" s="4"/>
      <c r="JV233" s="4"/>
      <c r="JW233" s="4"/>
      <c r="JX233" s="4"/>
      <c r="JY233" s="4"/>
      <c r="JZ233" s="4"/>
      <c r="KA233" s="4"/>
      <c r="KB233" s="4"/>
      <c r="KC233" s="4"/>
      <c r="KD233" s="4"/>
      <c r="KE233" s="4"/>
      <c r="KF233" s="4"/>
      <c r="KG233" s="4"/>
      <c r="KH233" s="4"/>
      <c r="KI233" s="4"/>
      <c r="KJ233" s="4"/>
      <c r="KK233" s="4"/>
      <c r="KL233" s="4"/>
      <c r="KM233" s="4"/>
      <c r="KN233" s="4"/>
      <c r="KO233" s="4"/>
      <c r="KP233" s="4"/>
      <c r="KQ233" s="4"/>
      <c r="KR233" s="4"/>
      <c r="KS233" s="4"/>
      <c r="KT233" s="4"/>
      <c r="KU233" s="4"/>
      <c r="KV233" s="4"/>
      <c r="KW233" s="4"/>
      <c r="KX233" s="4"/>
      <c r="KY233" s="4"/>
      <c r="KZ233" s="4"/>
      <c r="LA233" s="4"/>
      <c r="LB233" s="4"/>
      <c r="LC233" s="4"/>
      <c r="LD233" s="4"/>
      <c r="LE233" s="4"/>
      <c r="LF233" s="4"/>
      <c r="LG233" s="4"/>
      <c r="LH233" s="4"/>
      <c r="LI233" s="4"/>
      <c r="LJ233" s="4"/>
      <c r="LK233" s="4"/>
      <c r="LL233" s="4"/>
      <c r="LM233" s="4"/>
      <c r="LN233" s="4"/>
      <c r="LO233" s="4"/>
      <c r="LP233" s="4"/>
      <c r="LQ233" s="4"/>
      <c r="LR233" s="4"/>
      <c r="LS233" s="4"/>
      <c r="LT233" s="4"/>
      <c r="LU233" s="4"/>
      <c r="LV233" s="4"/>
      <c r="LW233" s="4"/>
      <c r="LX233" s="4"/>
      <c r="LY233" s="4"/>
      <c r="LZ233" s="4"/>
      <c r="MA233" s="4"/>
      <c r="MB233" s="4"/>
      <c r="MC233" s="4"/>
      <c r="MD233" s="4"/>
      <c r="ME233" s="4"/>
      <c r="MF233" s="4"/>
      <c r="MG233" s="4"/>
      <c r="MH233" s="4"/>
      <c r="MI233" s="4"/>
      <c r="MJ233" s="4"/>
      <c r="MK233" s="4"/>
      <c r="ML233" s="4"/>
      <c r="MM233" s="4"/>
      <c r="MN233" s="4"/>
      <c r="MO233" s="4"/>
      <c r="MP233" s="4"/>
      <c r="MQ233" s="4"/>
      <c r="MR233" s="4"/>
      <c r="MS233" s="4"/>
      <c r="MT233" s="4"/>
      <c r="MU233" s="4"/>
      <c r="MV233" s="4"/>
      <c r="MW233" s="4"/>
      <c r="MX233" s="4"/>
      <c r="MY233" s="4"/>
      <c r="MZ233" s="4"/>
      <c r="NA233" s="4"/>
      <c r="NB233" s="4"/>
      <c r="NC233" s="4"/>
      <c r="ND233" s="4"/>
      <c r="NE233" s="4"/>
      <c r="NF233" s="4"/>
      <c r="NG233" s="4"/>
      <c r="NH233" s="4"/>
      <c r="NI233" s="4"/>
      <c r="NJ233" s="4"/>
      <c r="NK233" s="4"/>
      <c r="NL233" s="4"/>
      <c r="NM233" s="4"/>
      <c r="NN233" s="4"/>
      <c r="NO233" s="4"/>
      <c r="NP233" s="4"/>
      <c r="NQ233" s="4"/>
      <c r="NR233" s="4"/>
      <c r="NS233" s="4"/>
      <c r="NT233" s="4"/>
      <c r="NU233" s="4"/>
      <c r="NV233" s="4"/>
      <c r="NW233" s="4"/>
      <c r="NX233" s="4"/>
      <c r="NY233" s="4"/>
      <c r="NZ233" s="4"/>
      <c r="OA233" s="4"/>
      <c r="OB233" s="4"/>
      <c r="OC233" s="4"/>
      <c r="OD233" s="4"/>
      <c r="OE233" s="4"/>
      <c r="OF233" s="4"/>
      <c r="OG233" s="4"/>
      <c r="OH233" s="4"/>
      <c r="OI233" s="4"/>
      <c r="OJ233" s="4"/>
      <c r="OK233" s="4"/>
      <c r="OL233" s="4"/>
      <c r="OM233" s="4"/>
      <c r="ON233" s="4"/>
      <c r="OO233" s="4"/>
      <c r="OP233" s="4"/>
      <c r="OQ233" s="4"/>
      <c r="OR233" s="4"/>
      <c r="OS233" s="4"/>
      <c r="OT233" s="4"/>
      <c r="OU233" s="4"/>
      <c r="OV233" s="4"/>
      <c r="OW233" s="4"/>
      <c r="OX233" s="4"/>
      <c r="OY233" s="4"/>
      <c r="OZ233" s="4"/>
      <c r="PA233" s="4"/>
      <c r="PB233" s="4"/>
      <c r="PC233" s="4"/>
      <c r="PD233" s="4"/>
      <c r="PE233" s="4"/>
      <c r="PF233" s="4"/>
      <c r="PG233" s="4"/>
      <c r="PH233" s="4"/>
      <c r="PI233" s="4"/>
      <c r="PJ233" s="4"/>
      <c r="PK233" s="4"/>
      <c r="PL233" s="4"/>
      <c r="PM233" s="4"/>
      <c r="PN233" s="4"/>
      <c r="PO233" s="4"/>
      <c r="PP233" s="4"/>
      <c r="PQ233" s="4"/>
      <c r="PR233" s="4"/>
      <c r="PS233" s="4"/>
      <c r="PT233" s="4"/>
      <c r="PU233" s="4"/>
      <c r="PV233" s="4"/>
      <c r="PW233" s="4"/>
      <c r="PX233" s="4"/>
      <c r="PY233" s="4"/>
      <c r="PZ233" s="4"/>
      <c r="QA233" s="4"/>
      <c r="QB233" s="4"/>
      <c r="QC233" s="4"/>
      <c r="QD233" s="4"/>
      <c r="QE233" s="4"/>
      <c r="QF233" s="4"/>
      <c r="QG233" s="4"/>
      <c r="QH233" s="4"/>
      <c r="QI233" s="4"/>
      <c r="QJ233" s="4"/>
      <c r="QK233" s="4"/>
      <c r="QL233" s="4"/>
      <c r="QM233" s="4"/>
      <c r="QN233" s="4"/>
      <c r="QO233" s="4"/>
      <c r="QP233" s="4"/>
      <c r="QQ233" s="4"/>
      <c r="QR233" s="4"/>
      <c r="QS233" s="4"/>
      <c r="QT233" s="4"/>
      <c r="QU233" s="4"/>
      <c r="QV233" s="4"/>
      <c r="QW233" s="4"/>
      <c r="QX233" s="4"/>
      <c r="QY233" s="4"/>
      <c r="QZ233" s="4"/>
      <c r="RA233" s="4"/>
      <c r="RB233" s="4"/>
      <c r="RC233" s="4"/>
      <c r="RD233" s="4"/>
      <c r="RE233" s="4"/>
      <c r="RF233" s="4"/>
      <c r="RG233" s="4"/>
      <c r="RH233" s="4"/>
      <c r="RI233" s="4"/>
      <c r="RJ233" s="4"/>
      <c r="RK233" s="4"/>
      <c r="RL233" s="4"/>
      <c r="RM233" s="4"/>
      <c r="RN233" s="4"/>
      <c r="RO233" s="4"/>
      <c r="RP233" s="4"/>
      <c r="RQ233" s="4"/>
      <c r="RR233" s="4"/>
      <c r="RS233" s="4"/>
      <c r="RT233" s="4"/>
      <c r="RU233" s="4"/>
      <c r="RV233" s="4"/>
      <c r="RW233" s="4"/>
      <c r="RX233" s="4"/>
      <c r="RY233" s="4"/>
      <c r="RZ233" s="4"/>
      <c r="SA233" s="4"/>
      <c r="SB233" s="4"/>
      <c r="SC233" s="4"/>
      <c r="SD233" s="4"/>
      <c r="SE233" s="4"/>
      <c r="SF233" s="4"/>
      <c r="SG233" s="4"/>
      <c r="SH233" s="4"/>
      <c r="SI233" s="4"/>
      <c r="SJ233" s="4"/>
      <c r="SK233" s="4"/>
      <c r="SL233" s="4"/>
      <c r="SM233" s="4"/>
      <c r="SN233" s="4"/>
      <c r="SO233" s="4"/>
      <c r="SP233" s="4"/>
      <c r="SQ233" s="4"/>
      <c r="SR233" s="4"/>
      <c r="SS233" s="4"/>
      <c r="ST233" s="4"/>
      <c r="SU233" s="4"/>
      <c r="SV233" s="4"/>
      <c r="SW233" s="4"/>
      <c r="SX233" s="4"/>
      <c r="SY233" s="4"/>
      <c r="SZ233" s="4"/>
      <c r="TA233" s="4"/>
      <c r="TB233" s="4"/>
      <c r="TC233" s="4"/>
      <c r="TD233" s="4"/>
      <c r="TE233" s="4"/>
      <c r="TF233" s="4"/>
      <c r="TG233" s="4"/>
      <c r="TH233" s="4"/>
      <c r="TI233" s="4"/>
      <c r="TJ233" s="4"/>
      <c r="TK233" s="4"/>
      <c r="TL233" s="4"/>
      <c r="TM233" s="4"/>
      <c r="TN233" s="4"/>
      <c r="TO233" s="4"/>
      <c r="TP233" s="4"/>
      <c r="TQ233" s="4"/>
      <c r="TR233" s="4"/>
      <c r="TS233" s="4"/>
      <c r="TT233" s="4"/>
      <c r="TU233" s="4"/>
      <c r="TV233" s="4"/>
      <c r="TW233" s="4"/>
      <c r="TX233" s="4"/>
      <c r="TY233" s="4"/>
      <c r="TZ233" s="4"/>
      <c r="UA233" s="4"/>
      <c r="UB233" s="4"/>
      <c r="UC233" s="4"/>
      <c r="UD233" s="4"/>
      <c r="UE233" s="4"/>
      <c r="UF233" s="4"/>
      <c r="UG233" s="4"/>
      <c r="UH233" s="4"/>
      <c r="UI233" s="4"/>
      <c r="UJ233" s="4"/>
      <c r="UK233" s="4"/>
      <c r="UL233" s="4"/>
      <c r="UM233" s="4"/>
      <c r="UN233" s="4"/>
      <c r="UO233" s="4"/>
      <c r="UP233" s="4"/>
      <c r="UQ233" s="4"/>
      <c r="UR233" s="4"/>
      <c r="US233" s="4"/>
      <c r="UT233" s="4"/>
      <c r="UU233" s="4"/>
      <c r="UV233" s="4"/>
      <c r="UW233" s="4"/>
      <c r="UX233" s="4"/>
      <c r="UY233" s="4"/>
      <c r="UZ233" s="4"/>
      <c r="VA233" s="4"/>
      <c r="VB233" s="4"/>
      <c r="VC233" s="4"/>
      <c r="VD233" s="4"/>
      <c r="VE233" s="4"/>
      <c r="VF233" s="4"/>
      <c r="VG233" s="4"/>
      <c r="VH233" s="4"/>
      <c r="VI233" s="4"/>
      <c r="VJ233" s="4"/>
      <c r="VK233" s="4"/>
      <c r="VL233" s="4"/>
      <c r="VM233" s="4"/>
      <c r="VN233" s="4"/>
      <c r="VO233" s="4"/>
      <c r="VP233" s="4"/>
      <c r="VQ233" s="4"/>
      <c r="VR233" s="4"/>
      <c r="VS233" s="4"/>
      <c r="VT233" s="4"/>
      <c r="VU233" s="4"/>
      <c r="VV233" s="4"/>
      <c r="VW233" s="4"/>
      <c r="VX233" s="4"/>
      <c r="VY233" s="4"/>
      <c r="VZ233" s="4"/>
      <c r="WA233" s="4"/>
      <c r="WB233" s="4"/>
      <c r="WC233" s="4"/>
      <c r="WD233" s="4"/>
      <c r="WE233" s="4"/>
      <c r="WF233" s="4"/>
      <c r="WG233" s="4"/>
      <c r="WH233" s="4"/>
      <c r="WI233" s="4"/>
      <c r="WJ233" s="4"/>
      <c r="WK233" s="4"/>
      <c r="WL233" s="4"/>
      <c r="WM233" s="4"/>
      <c r="WN233" s="4"/>
      <c r="WO233" s="4"/>
      <c r="WP233" s="4"/>
      <c r="WQ233" s="4"/>
      <c r="WR233" s="4"/>
      <c r="WS233" s="4"/>
      <c r="WT233" s="4"/>
      <c r="WU233" s="4"/>
      <c r="WV233" s="4"/>
      <c r="WW233" s="4"/>
      <c r="WX233" s="4"/>
      <c r="WY233" s="4"/>
      <c r="WZ233" s="4"/>
      <c r="XA233" s="4"/>
      <c r="XB233" s="4"/>
      <c r="XC233" s="4"/>
      <c r="XD233" s="4"/>
      <c r="XE233" s="4"/>
      <c r="XF233" s="4"/>
      <c r="XG233" s="4"/>
      <c r="XH233" s="4"/>
      <c r="XI233" s="4"/>
      <c r="XJ233" s="4"/>
      <c r="XK233" s="4"/>
      <c r="XL233" s="4"/>
      <c r="XM233" s="4"/>
      <c r="XN233" s="4"/>
      <c r="XO233" s="4"/>
      <c r="XP233" s="4"/>
      <c r="XQ233" s="4"/>
      <c r="XR233" s="4"/>
      <c r="XS233" s="4"/>
      <c r="XT233" s="4"/>
      <c r="XU233" s="4"/>
      <c r="XV233" s="4"/>
      <c r="XW233" s="4"/>
      <c r="XX233" s="4"/>
      <c r="XY233" s="4"/>
      <c r="XZ233" s="4"/>
      <c r="YA233" s="4"/>
      <c r="YB233" s="4"/>
      <c r="YC233" s="4"/>
      <c r="YD233" s="4"/>
      <c r="YE233" s="4"/>
      <c r="YF233" s="4"/>
      <c r="YG233" s="4"/>
      <c r="YH233" s="4"/>
      <c r="YI233" s="4"/>
      <c r="YJ233" s="4"/>
      <c r="YK233" s="4"/>
      <c r="YL233" s="4"/>
      <c r="YM233" s="4"/>
      <c r="YN233" s="4"/>
      <c r="YO233" s="4"/>
      <c r="YP233" s="4"/>
      <c r="YQ233" s="4"/>
      <c r="YR233" s="4"/>
      <c r="YS233" s="4"/>
      <c r="YT233" s="4"/>
      <c r="YU233" s="4"/>
      <c r="YV233" s="4"/>
      <c r="YW233" s="4"/>
      <c r="YX233" s="4"/>
      <c r="YY233" s="4"/>
      <c r="YZ233" s="4"/>
      <c r="ZA233" s="4"/>
      <c r="ZB233" s="4"/>
      <c r="ZC233" s="4"/>
      <c r="ZD233" s="4"/>
      <c r="ZE233" s="4"/>
      <c r="ZF233" s="4"/>
      <c r="ZG233" s="4"/>
      <c r="ZH233" s="4"/>
      <c r="ZI233" s="4"/>
      <c r="ZJ233" s="4"/>
      <c r="ZK233" s="4"/>
      <c r="ZL233" s="4"/>
      <c r="ZM233" s="4"/>
      <c r="ZN233" s="4"/>
      <c r="ZO233" s="4"/>
      <c r="ZP233" s="4"/>
      <c r="ZQ233" s="4"/>
      <c r="ZR233" s="4"/>
      <c r="ZS233" s="4"/>
      <c r="ZT233" s="4"/>
      <c r="ZU233" s="4"/>
      <c r="ZV233" s="4"/>
      <c r="ZW233" s="4"/>
      <c r="ZX233" s="4"/>
      <c r="ZY233" s="4"/>
      <c r="ZZ233" s="4"/>
      <c r="AAA233" s="4"/>
      <c r="AAB233" s="4"/>
      <c r="AAC233" s="4"/>
      <c r="AAD233" s="4"/>
    </row>
    <row r="234" spans="1:706" ht="37.5" customHeight="1" x14ac:dyDescent="0.15">
      <c r="A234" s="4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  <c r="HI234" s="4"/>
      <c r="HJ234" s="4"/>
      <c r="HK234" s="4"/>
      <c r="HL234" s="4"/>
      <c r="HM234" s="4"/>
      <c r="HN234" s="4"/>
      <c r="HO234" s="4"/>
      <c r="HP234" s="4"/>
      <c r="HQ234" s="4"/>
      <c r="HR234" s="4"/>
      <c r="HS234" s="4"/>
      <c r="HT234" s="4"/>
      <c r="HU234" s="4"/>
      <c r="HV234" s="4"/>
      <c r="HW234" s="4"/>
      <c r="HX234" s="4"/>
      <c r="HY234" s="4"/>
      <c r="HZ234" s="4"/>
      <c r="IA234" s="4"/>
      <c r="IB234" s="4"/>
      <c r="IC234" s="4"/>
      <c r="ID234" s="4"/>
      <c r="IE234" s="4"/>
      <c r="IF234" s="4"/>
      <c r="IG234" s="4"/>
      <c r="IH234" s="4"/>
      <c r="II234" s="4"/>
      <c r="IJ234" s="4"/>
      <c r="IK234" s="4"/>
      <c r="IL234" s="4"/>
      <c r="IM234" s="4"/>
      <c r="IN234" s="4"/>
      <c r="IO234" s="4"/>
      <c r="IP234" s="4"/>
      <c r="IQ234" s="4"/>
      <c r="IR234" s="4"/>
      <c r="IS234" s="4"/>
      <c r="IT234" s="4"/>
      <c r="IU234" s="4"/>
      <c r="IV234" s="4"/>
      <c r="IW234" s="4"/>
      <c r="IX234" s="4"/>
      <c r="IY234" s="4"/>
      <c r="IZ234" s="4"/>
      <c r="JA234" s="4"/>
      <c r="JB234" s="4"/>
      <c r="JC234" s="4"/>
      <c r="JD234" s="4"/>
      <c r="JE234" s="4"/>
      <c r="JF234" s="4"/>
      <c r="JG234" s="4"/>
      <c r="JH234" s="4"/>
      <c r="JI234" s="4"/>
      <c r="JJ234" s="4"/>
      <c r="JK234" s="4"/>
      <c r="JL234" s="4"/>
      <c r="JM234" s="4"/>
      <c r="JN234" s="4"/>
      <c r="JO234" s="4"/>
      <c r="JP234" s="4"/>
      <c r="JQ234" s="4"/>
      <c r="JR234" s="4"/>
      <c r="JS234" s="4"/>
      <c r="JT234" s="4"/>
      <c r="JU234" s="4"/>
      <c r="JV234" s="4"/>
      <c r="JW234" s="4"/>
      <c r="JX234" s="4"/>
      <c r="JY234" s="4"/>
      <c r="JZ234" s="4"/>
      <c r="KA234" s="4"/>
      <c r="KB234" s="4"/>
      <c r="KC234" s="4"/>
      <c r="KD234" s="4"/>
      <c r="KE234" s="4"/>
      <c r="KF234" s="4"/>
      <c r="KG234" s="4"/>
      <c r="KH234" s="4"/>
      <c r="KI234" s="4"/>
      <c r="KJ234" s="4"/>
      <c r="KK234" s="4"/>
      <c r="KL234" s="4"/>
      <c r="KM234" s="4"/>
      <c r="KN234" s="4"/>
      <c r="KO234" s="4"/>
      <c r="KP234" s="4"/>
      <c r="KQ234" s="4"/>
      <c r="KR234" s="4"/>
      <c r="KS234" s="4"/>
      <c r="KT234" s="4"/>
      <c r="KU234" s="4"/>
      <c r="KV234" s="4"/>
      <c r="KW234" s="4"/>
      <c r="KX234" s="4"/>
      <c r="KY234" s="4"/>
      <c r="KZ234" s="4"/>
      <c r="LA234" s="4"/>
      <c r="LB234" s="4"/>
      <c r="LC234" s="4"/>
      <c r="LD234" s="4"/>
      <c r="LE234" s="4"/>
      <c r="LF234" s="4"/>
      <c r="LG234" s="4"/>
      <c r="LH234" s="4"/>
      <c r="LI234" s="4"/>
      <c r="LJ234" s="4"/>
      <c r="LK234" s="4"/>
      <c r="LL234" s="4"/>
      <c r="LM234" s="4"/>
      <c r="LN234" s="4"/>
      <c r="LO234" s="4"/>
      <c r="LP234" s="4"/>
      <c r="LQ234" s="4"/>
      <c r="LR234" s="4"/>
      <c r="LS234" s="4"/>
      <c r="LT234" s="4"/>
      <c r="LU234" s="4"/>
      <c r="LV234" s="4"/>
      <c r="LW234" s="4"/>
      <c r="LX234" s="4"/>
      <c r="LY234" s="4"/>
      <c r="LZ234" s="4"/>
      <c r="MA234" s="4"/>
      <c r="MB234" s="4"/>
      <c r="MC234" s="4"/>
      <c r="MD234" s="4"/>
      <c r="ME234" s="4"/>
      <c r="MF234" s="4"/>
      <c r="MG234" s="4"/>
      <c r="MH234" s="4"/>
      <c r="MI234" s="4"/>
      <c r="MJ234" s="4"/>
      <c r="MK234" s="4"/>
      <c r="ML234" s="4"/>
      <c r="MM234" s="4"/>
      <c r="MN234" s="4"/>
      <c r="MO234" s="4"/>
      <c r="MP234" s="4"/>
      <c r="MQ234" s="4"/>
      <c r="MR234" s="4"/>
      <c r="MS234" s="4"/>
      <c r="MT234" s="4"/>
      <c r="MU234" s="4"/>
      <c r="MV234" s="4"/>
      <c r="MW234" s="4"/>
      <c r="MX234" s="4"/>
      <c r="MY234" s="4"/>
      <c r="MZ234" s="4"/>
      <c r="NA234" s="4"/>
      <c r="NB234" s="4"/>
      <c r="NC234" s="4"/>
      <c r="ND234" s="4"/>
      <c r="NE234" s="4"/>
      <c r="NF234" s="4"/>
      <c r="NG234" s="4"/>
      <c r="NH234" s="4"/>
      <c r="NI234" s="4"/>
      <c r="NJ234" s="4"/>
      <c r="NK234" s="4"/>
      <c r="NL234" s="4"/>
      <c r="NM234" s="4"/>
      <c r="NN234" s="4"/>
      <c r="NO234" s="4"/>
      <c r="NP234" s="4"/>
      <c r="NQ234" s="4"/>
      <c r="NR234" s="4"/>
      <c r="NS234" s="4"/>
      <c r="NT234" s="4"/>
      <c r="NU234" s="4"/>
      <c r="NV234" s="4"/>
      <c r="NW234" s="4"/>
      <c r="NX234" s="4"/>
      <c r="NY234" s="4"/>
      <c r="NZ234" s="4"/>
      <c r="OA234" s="4"/>
      <c r="OB234" s="4"/>
      <c r="OC234" s="4"/>
      <c r="OD234" s="4"/>
      <c r="OE234" s="4"/>
      <c r="OF234" s="4"/>
      <c r="OG234" s="4"/>
      <c r="OH234" s="4"/>
      <c r="OI234" s="4"/>
      <c r="OJ234" s="4"/>
      <c r="OK234" s="4"/>
      <c r="OL234" s="4"/>
      <c r="OM234" s="4"/>
      <c r="ON234" s="4"/>
      <c r="OO234" s="4"/>
      <c r="OP234" s="4"/>
      <c r="OQ234" s="4"/>
      <c r="OR234" s="4"/>
      <c r="OS234" s="4"/>
      <c r="OT234" s="4"/>
      <c r="OU234" s="4"/>
      <c r="OV234" s="4"/>
      <c r="OW234" s="4"/>
      <c r="OX234" s="4"/>
      <c r="OY234" s="4"/>
      <c r="OZ234" s="4"/>
      <c r="PA234" s="4"/>
      <c r="PB234" s="4"/>
      <c r="PC234" s="4"/>
      <c r="PD234" s="4"/>
      <c r="PE234" s="4"/>
      <c r="PF234" s="4"/>
      <c r="PG234" s="4"/>
      <c r="PH234" s="4"/>
      <c r="PI234" s="4"/>
      <c r="PJ234" s="4"/>
      <c r="PK234" s="4"/>
      <c r="PL234" s="4"/>
      <c r="PM234" s="4"/>
      <c r="PN234" s="4"/>
      <c r="PO234" s="4"/>
      <c r="PP234" s="4"/>
      <c r="PQ234" s="4"/>
      <c r="PR234" s="4"/>
      <c r="PS234" s="4"/>
      <c r="PT234" s="4"/>
      <c r="PU234" s="4"/>
      <c r="PV234" s="4"/>
      <c r="PW234" s="4"/>
      <c r="PX234" s="4"/>
      <c r="PY234" s="4"/>
      <c r="PZ234" s="4"/>
      <c r="QA234" s="4"/>
      <c r="QB234" s="4"/>
      <c r="QC234" s="4"/>
      <c r="QD234" s="4"/>
      <c r="QE234" s="4"/>
      <c r="QF234" s="4"/>
      <c r="QG234" s="4"/>
      <c r="QH234" s="4"/>
      <c r="QI234" s="4"/>
      <c r="QJ234" s="4"/>
      <c r="QK234" s="4"/>
      <c r="QL234" s="4"/>
      <c r="QM234" s="4"/>
      <c r="QN234" s="4"/>
      <c r="QO234" s="4"/>
      <c r="QP234" s="4"/>
      <c r="QQ234" s="4"/>
      <c r="QR234" s="4"/>
      <c r="QS234" s="4"/>
      <c r="QT234" s="4"/>
      <c r="QU234" s="4"/>
      <c r="QV234" s="4"/>
      <c r="QW234" s="4"/>
      <c r="QX234" s="4"/>
      <c r="QY234" s="4"/>
      <c r="QZ234" s="4"/>
      <c r="RA234" s="4"/>
      <c r="RB234" s="4"/>
      <c r="RC234" s="4"/>
      <c r="RD234" s="4"/>
      <c r="RE234" s="4"/>
      <c r="RF234" s="4"/>
      <c r="RG234" s="4"/>
      <c r="RH234" s="4"/>
      <c r="RI234" s="4"/>
      <c r="RJ234" s="4"/>
      <c r="RK234" s="4"/>
      <c r="RL234" s="4"/>
      <c r="RM234" s="4"/>
      <c r="RN234" s="4"/>
      <c r="RO234" s="4"/>
      <c r="RP234" s="4"/>
      <c r="RQ234" s="4"/>
      <c r="RR234" s="4"/>
      <c r="RS234" s="4"/>
      <c r="RT234" s="4"/>
      <c r="RU234" s="4"/>
      <c r="RV234" s="4"/>
      <c r="RW234" s="4"/>
      <c r="RX234" s="4"/>
      <c r="RY234" s="4"/>
      <c r="RZ234" s="4"/>
      <c r="SA234" s="4"/>
      <c r="SB234" s="4"/>
      <c r="SC234" s="4"/>
      <c r="SD234" s="4"/>
      <c r="SE234" s="4"/>
      <c r="SF234" s="4"/>
      <c r="SG234" s="4"/>
      <c r="SH234" s="4"/>
      <c r="SI234" s="4"/>
      <c r="SJ234" s="4"/>
      <c r="SK234" s="4"/>
      <c r="SL234" s="4"/>
      <c r="SM234" s="4"/>
      <c r="SN234" s="4"/>
      <c r="SO234" s="4"/>
      <c r="SP234" s="4"/>
      <c r="SQ234" s="4"/>
      <c r="SR234" s="4"/>
      <c r="SS234" s="4"/>
      <c r="ST234" s="4"/>
      <c r="SU234" s="4"/>
      <c r="SV234" s="4"/>
      <c r="SW234" s="4"/>
      <c r="SX234" s="4"/>
      <c r="SY234" s="4"/>
      <c r="SZ234" s="4"/>
      <c r="TA234" s="4"/>
      <c r="TB234" s="4"/>
      <c r="TC234" s="4"/>
      <c r="TD234" s="4"/>
      <c r="TE234" s="4"/>
      <c r="TF234" s="4"/>
      <c r="TG234" s="4"/>
      <c r="TH234" s="4"/>
      <c r="TI234" s="4"/>
      <c r="TJ234" s="4"/>
      <c r="TK234" s="4"/>
      <c r="TL234" s="4"/>
      <c r="TM234" s="4"/>
      <c r="TN234" s="4"/>
      <c r="TO234" s="4"/>
      <c r="TP234" s="4"/>
      <c r="TQ234" s="4"/>
      <c r="TR234" s="4"/>
      <c r="TS234" s="4"/>
      <c r="TT234" s="4"/>
      <c r="TU234" s="4"/>
      <c r="TV234" s="4"/>
      <c r="TW234" s="4"/>
      <c r="TX234" s="4"/>
      <c r="TY234" s="4"/>
      <c r="TZ234" s="4"/>
      <c r="UA234" s="4"/>
      <c r="UB234" s="4"/>
      <c r="UC234" s="4"/>
      <c r="UD234" s="4"/>
      <c r="UE234" s="4"/>
      <c r="UF234" s="4"/>
      <c r="UG234" s="4"/>
      <c r="UH234" s="4"/>
      <c r="UI234" s="4"/>
      <c r="UJ234" s="4"/>
      <c r="UK234" s="4"/>
      <c r="UL234" s="4"/>
      <c r="UM234" s="4"/>
      <c r="UN234" s="4"/>
      <c r="UO234" s="4"/>
      <c r="UP234" s="4"/>
      <c r="UQ234" s="4"/>
      <c r="UR234" s="4"/>
      <c r="US234" s="4"/>
      <c r="UT234" s="4"/>
      <c r="UU234" s="4"/>
      <c r="UV234" s="4"/>
      <c r="UW234" s="4"/>
      <c r="UX234" s="4"/>
      <c r="UY234" s="4"/>
      <c r="UZ234" s="4"/>
      <c r="VA234" s="4"/>
      <c r="VB234" s="4"/>
      <c r="VC234" s="4"/>
      <c r="VD234" s="4"/>
      <c r="VE234" s="4"/>
      <c r="VF234" s="4"/>
      <c r="VG234" s="4"/>
      <c r="VH234" s="4"/>
      <c r="VI234" s="4"/>
      <c r="VJ234" s="4"/>
      <c r="VK234" s="4"/>
      <c r="VL234" s="4"/>
      <c r="VM234" s="4"/>
      <c r="VN234" s="4"/>
      <c r="VO234" s="4"/>
      <c r="VP234" s="4"/>
      <c r="VQ234" s="4"/>
      <c r="VR234" s="4"/>
      <c r="VS234" s="4"/>
      <c r="VT234" s="4"/>
      <c r="VU234" s="4"/>
      <c r="VV234" s="4"/>
      <c r="VW234" s="4"/>
      <c r="VX234" s="4"/>
      <c r="VY234" s="4"/>
      <c r="VZ234" s="4"/>
      <c r="WA234" s="4"/>
      <c r="WB234" s="4"/>
      <c r="WC234" s="4"/>
      <c r="WD234" s="4"/>
      <c r="WE234" s="4"/>
      <c r="WF234" s="4"/>
      <c r="WG234" s="4"/>
      <c r="WH234" s="4"/>
      <c r="WI234" s="4"/>
      <c r="WJ234" s="4"/>
      <c r="WK234" s="4"/>
      <c r="WL234" s="4"/>
      <c r="WM234" s="4"/>
      <c r="WN234" s="4"/>
      <c r="WO234" s="4"/>
      <c r="WP234" s="4"/>
      <c r="WQ234" s="4"/>
      <c r="WR234" s="4"/>
      <c r="WS234" s="4"/>
      <c r="WT234" s="4"/>
      <c r="WU234" s="4"/>
      <c r="WV234" s="4"/>
      <c r="WW234" s="4"/>
      <c r="WX234" s="4"/>
      <c r="WY234" s="4"/>
      <c r="WZ234" s="4"/>
      <c r="XA234" s="4"/>
      <c r="XB234" s="4"/>
      <c r="XC234" s="4"/>
      <c r="XD234" s="4"/>
      <c r="XE234" s="4"/>
      <c r="XF234" s="4"/>
      <c r="XG234" s="4"/>
      <c r="XH234" s="4"/>
      <c r="XI234" s="4"/>
      <c r="XJ234" s="4"/>
      <c r="XK234" s="4"/>
      <c r="XL234" s="4"/>
      <c r="XM234" s="4"/>
      <c r="XN234" s="4"/>
      <c r="XO234" s="4"/>
      <c r="XP234" s="4"/>
      <c r="XQ234" s="4"/>
      <c r="XR234" s="4"/>
      <c r="XS234" s="4"/>
      <c r="XT234" s="4"/>
      <c r="XU234" s="4"/>
      <c r="XV234" s="4"/>
      <c r="XW234" s="4"/>
      <c r="XX234" s="4"/>
      <c r="XY234" s="4"/>
      <c r="XZ234" s="4"/>
      <c r="YA234" s="4"/>
      <c r="YB234" s="4"/>
      <c r="YC234" s="4"/>
      <c r="YD234" s="4"/>
      <c r="YE234" s="4"/>
      <c r="YF234" s="4"/>
      <c r="YG234" s="4"/>
      <c r="YH234" s="4"/>
      <c r="YI234" s="4"/>
      <c r="YJ234" s="4"/>
      <c r="YK234" s="4"/>
      <c r="YL234" s="4"/>
      <c r="YM234" s="4"/>
      <c r="YN234" s="4"/>
      <c r="YO234" s="4"/>
      <c r="YP234" s="4"/>
      <c r="YQ234" s="4"/>
      <c r="YR234" s="4"/>
      <c r="YS234" s="4"/>
      <c r="YT234" s="4"/>
      <c r="YU234" s="4"/>
      <c r="YV234" s="4"/>
      <c r="YW234" s="4"/>
      <c r="YX234" s="4"/>
      <c r="YY234" s="4"/>
      <c r="YZ234" s="4"/>
      <c r="ZA234" s="4"/>
      <c r="ZB234" s="4"/>
      <c r="ZC234" s="4"/>
      <c r="ZD234" s="4"/>
      <c r="ZE234" s="4"/>
      <c r="ZF234" s="4"/>
      <c r="ZG234" s="4"/>
      <c r="ZH234" s="4"/>
      <c r="ZI234" s="4"/>
      <c r="ZJ234" s="4"/>
      <c r="ZK234" s="4"/>
      <c r="ZL234" s="4"/>
      <c r="ZM234" s="4"/>
      <c r="ZN234" s="4"/>
      <c r="ZO234" s="4"/>
      <c r="ZP234" s="4"/>
      <c r="ZQ234" s="4"/>
      <c r="ZR234" s="4"/>
      <c r="ZS234" s="4"/>
      <c r="ZT234" s="4"/>
      <c r="ZU234" s="4"/>
      <c r="ZV234" s="4"/>
      <c r="ZW234" s="4"/>
      <c r="ZX234" s="4"/>
      <c r="ZY234" s="4"/>
      <c r="ZZ234" s="4"/>
      <c r="AAA234" s="4"/>
      <c r="AAB234" s="4"/>
      <c r="AAC234" s="4"/>
      <c r="AAD234" s="4"/>
    </row>
    <row r="235" spans="1:706" ht="4.5" customHeight="1" x14ac:dyDescent="0.15">
      <c r="A235" s="4"/>
      <c r="B235" s="13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13"/>
      <c r="DO235" s="13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  <c r="HG235" s="4"/>
      <c r="HH235" s="4"/>
      <c r="HI235" s="4"/>
      <c r="HJ235" s="4"/>
      <c r="HK235" s="4"/>
      <c r="HL235" s="4"/>
      <c r="HM235" s="4"/>
      <c r="HN235" s="4"/>
      <c r="HO235" s="4"/>
      <c r="HP235" s="4"/>
      <c r="HQ235" s="4"/>
      <c r="HR235" s="4"/>
      <c r="HS235" s="4"/>
      <c r="HT235" s="4"/>
      <c r="HU235" s="4"/>
      <c r="HV235" s="4"/>
      <c r="HW235" s="4"/>
      <c r="HX235" s="4"/>
      <c r="HY235" s="4"/>
      <c r="HZ235" s="4"/>
      <c r="IA235" s="4"/>
      <c r="IB235" s="4"/>
      <c r="IC235" s="4"/>
      <c r="ID235" s="4"/>
      <c r="IE235" s="4"/>
      <c r="IF235" s="4"/>
      <c r="IG235" s="4"/>
      <c r="IH235" s="4"/>
      <c r="II235" s="4"/>
      <c r="IJ235" s="4"/>
      <c r="IK235" s="4"/>
      <c r="IL235" s="4"/>
      <c r="IM235" s="4"/>
      <c r="IN235" s="4"/>
      <c r="IO235" s="4"/>
      <c r="IP235" s="4"/>
      <c r="IQ235" s="4"/>
      <c r="IR235" s="4"/>
      <c r="IS235" s="4"/>
      <c r="IT235" s="4"/>
      <c r="IU235" s="4"/>
      <c r="IV235" s="4"/>
      <c r="IW235" s="4"/>
      <c r="IX235" s="4"/>
      <c r="IY235" s="4"/>
      <c r="IZ235" s="4"/>
      <c r="JA235" s="4"/>
      <c r="JB235" s="4"/>
      <c r="JC235" s="4"/>
      <c r="JD235" s="4"/>
      <c r="JE235" s="4"/>
      <c r="JF235" s="4"/>
      <c r="JG235" s="4"/>
      <c r="JH235" s="4"/>
      <c r="JI235" s="4"/>
      <c r="JJ235" s="4"/>
      <c r="JK235" s="4"/>
      <c r="JL235" s="4"/>
      <c r="JM235" s="4"/>
      <c r="JN235" s="4"/>
      <c r="JO235" s="4"/>
      <c r="JP235" s="4"/>
      <c r="JQ235" s="4"/>
      <c r="JR235" s="4"/>
      <c r="JS235" s="4"/>
      <c r="JT235" s="4"/>
      <c r="JU235" s="4"/>
      <c r="JV235" s="4"/>
      <c r="JW235" s="4"/>
      <c r="JX235" s="4"/>
      <c r="JY235" s="4"/>
      <c r="JZ235" s="4"/>
      <c r="KA235" s="4"/>
      <c r="KB235" s="4"/>
      <c r="KC235" s="4"/>
      <c r="KD235" s="4"/>
      <c r="KE235" s="4"/>
      <c r="KF235" s="4"/>
      <c r="KG235" s="4"/>
      <c r="KH235" s="4"/>
      <c r="KI235" s="4"/>
      <c r="KJ235" s="4"/>
      <c r="KK235" s="4"/>
      <c r="KL235" s="4"/>
      <c r="KM235" s="4"/>
      <c r="KN235" s="4"/>
      <c r="KO235" s="4"/>
      <c r="KP235" s="4"/>
      <c r="KQ235" s="4"/>
      <c r="KR235" s="4"/>
      <c r="KS235" s="4"/>
      <c r="KT235" s="4"/>
      <c r="KU235" s="4"/>
      <c r="KV235" s="4"/>
      <c r="KW235" s="4"/>
      <c r="KX235" s="4"/>
      <c r="KY235" s="4"/>
      <c r="KZ235" s="4"/>
      <c r="LA235" s="4"/>
      <c r="LB235" s="4"/>
      <c r="LC235" s="4"/>
      <c r="LD235" s="4"/>
      <c r="LE235" s="4"/>
      <c r="LF235" s="4"/>
      <c r="LG235" s="4"/>
      <c r="LH235" s="4"/>
      <c r="LI235" s="4"/>
      <c r="LJ235" s="4"/>
      <c r="LK235" s="4"/>
      <c r="LL235" s="4"/>
      <c r="LM235" s="4"/>
      <c r="LN235" s="4"/>
      <c r="LO235" s="4"/>
      <c r="LP235" s="4"/>
      <c r="LQ235" s="4"/>
      <c r="LR235" s="4"/>
      <c r="LS235" s="4"/>
      <c r="LT235" s="4"/>
      <c r="LU235" s="4"/>
      <c r="LV235" s="4"/>
      <c r="LW235" s="4"/>
      <c r="LX235" s="4"/>
      <c r="LY235" s="4"/>
      <c r="LZ235" s="4"/>
      <c r="MA235" s="4"/>
      <c r="MB235" s="4"/>
      <c r="MC235" s="4"/>
      <c r="MD235" s="4"/>
      <c r="ME235" s="4"/>
      <c r="MF235" s="4"/>
      <c r="MG235" s="4"/>
      <c r="MH235" s="4"/>
      <c r="MI235" s="4"/>
      <c r="MJ235" s="4"/>
      <c r="MK235" s="4"/>
      <c r="ML235" s="4"/>
      <c r="MM235" s="4"/>
      <c r="MN235" s="4"/>
      <c r="MO235" s="4"/>
      <c r="MP235" s="4"/>
      <c r="MQ235" s="4"/>
      <c r="MR235" s="4"/>
      <c r="MS235" s="4"/>
      <c r="MT235" s="4"/>
      <c r="MU235" s="4"/>
      <c r="MV235" s="4"/>
      <c r="MW235" s="4"/>
      <c r="MX235" s="4"/>
      <c r="MY235" s="4"/>
      <c r="MZ235" s="4"/>
      <c r="NA235" s="4"/>
      <c r="NB235" s="4"/>
      <c r="NC235" s="4"/>
      <c r="ND235" s="4"/>
      <c r="NE235" s="4"/>
      <c r="NF235" s="4"/>
      <c r="NG235" s="4"/>
      <c r="NH235" s="4"/>
      <c r="NI235" s="4"/>
      <c r="NJ235" s="4"/>
      <c r="NK235" s="4"/>
      <c r="NL235" s="4"/>
      <c r="NM235" s="4"/>
      <c r="NN235" s="4"/>
      <c r="NO235" s="4"/>
      <c r="NP235" s="4"/>
      <c r="NQ235" s="4"/>
      <c r="NR235" s="4"/>
      <c r="NS235" s="4"/>
      <c r="NT235" s="4"/>
      <c r="NU235" s="4"/>
      <c r="NV235" s="4"/>
      <c r="NW235" s="4"/>
      <c r="NX235" s="4"/>
      <c r="NY235" s="4"/>
      <c r="NZ235" s="4"/>
      <c r="OA235" s="4"/>
      <c r="OB235" s="4"/>
      <c r="OC235" s="4"/>
      <c r="OD235" s="4"/>
      <c r="OE235" s="4"/>
      <c r="OF235" s="4"/>
      <c r="OG235" s="4"/>
      <c r="OH235" s="4"/>
      <c r="OI235" s="4"/>
      <c r="OJ235" s="4"/>
      <c r="OK235" s="4"/>
      <c r="OL235" s="4"/>
      <c r="OM235" s="4"/>
      <c r="ON235" s="4"/>
      <c r="OO235" s="4"/>
      <c r="OP235" s="4"/>
      <c r="OQ235" s="4"/>
      <c r="OR235" s="4"/>
      <c r="OS235" s="4"/>
      <c r="OT235" s="4"/>
      <c r="OU235" s="4"/>
      <c r="OV235" s="4"/>
      <c r="OW235" s="4"/>
      <c r="OX235" s="4"/>
      <c r="OY235" s="4"/>
      <c r="OZ235" s="4"/>
      <c r="PA235" s="4"/>
      <c r="PB235" s="4"/>
      <c r="PC235" s="4"/>
      <c r="PD235" s="4"/>
      <c r="PE235" s="4"/>
      <c r="PF235" s="4"/>
      <c r="PG235" s="4"/>
      <c r="PH235" s="4"/>
      <c r="PI235" s="4"/>
      <c r="PJ235" s="4"/>
      <c r="PK235" s="4"/>
      <c r="PL235" s="4"/>
      <c r="PM235" s="4"/>
      <c r="PN235" s="4"/>
      <c r="PO235" s="4"/>
      <c r="PP235" s="4"/>
      <c r="PQ235" s="4"/>
      <c r="PR235" s="4"/>
      <c r="PS235" s="4"/>
      <c r="PT235" s="4"/>
      <c r="PU235" s="4"/>
      <c r="PV235" s="4"/>
      <c r="PW235" s="4"/>
      <c r="PX235" s="4"/>
      <c r="PY235" s="4"/>
      <c r="PZ235" s="4"/>
      <c r="QA235" s="4"/>
      <c r="QB235" s="4"/>
      <c r="QC235" s="4"/>
      <c r="QD235" s="4"/>
      <c r="QE235" s="4"/>
      <c r="QF235" s="4"/>
      <c r="QG235" s="4"/>
      <c r="QH235" s="4"/>
      <c r="QI235" s="4"/>
      <c r="QJ235" s="4"/>
      <c r="QK235" s="4"/>
      <c r="QL235" s="4"/>
      <c r="QM235" s="4"/>
      <c r="QN235" s="4"/>
      <c r="QO235" s="4"/>
      <c r="QP235" s="4"/>
      <c r="QQ235" s="4"/>
      <c r="QR235" s="4"/>
      <c r="QS235" s="4"/>
      <c r="QT235" s="4"/>
      <c r="QU235" s="4"/>
      <c r="QV235" s="4"/>
      <c r="QW235" s="4"/>
      <c r="QX235" s="4"/>
      <c r="QY235" s="4"/>
      <c r="QZ235" s="4"/>
      <c r="RA235" s="4"/>
      <c r="RB235" s="4"/>
      <c r="RC235" s="4"/>
      <c r="RD235" s="4"/>
      <c r="RE235" s="4"/>
      <c r="RF235" s="4"/>
      <c r="RG235" s="4"/>
      <c r="RH235" s="4"/>
      <c r="RI235" s="4"/>
      <c r="RJ235" s="4"/>
      <c r="RK235" s="4"/>
      <c r="RL235" s="4"/>
      <c r="RM235" s="4"/>
      <c r="RN235" s="4"/>
      <c r="RO235" s="4"/>
      <c r="RP235" s="4"/>
      <c r="RQ235" s="4"/>
      <c r="RR235" s="4"/>
      <c r="RS235" s="4"/>
      <c r="RT235" s="4"/>
      <c r="RU235" s="4"/>
      <c r="RV235" s="4"/>
      <c r="RW235" s="4"/>
      <c r="RX235" s="4"/>
      <c r="RY235" s="4"/>
      <c r="RZ235" s="4"/>
      <c r="SA235" s="4"/>
      <c r="SB235" s="4"/>
      <c r="SC235" s="4"/>
      <c r="SD235" s="4"/>
      <c r="SE235" s="4"/>
      <c r="SF235" s="4"/>
      <c r="SG235" s="4"/>
      <c r="SH235" s="4"/>
      <c r="SI235" s="4"/>
      <c r="SJ235" s="4"/>
      <c r="SK235" s="4"/>
      <c r="SL235" s="4"/>
      <c r="SM235" s="4"/>
      <c r="SN235" s="4"/>
      <c r="SO235" s="4"/>
      <c r="SP235" s="4"/>
      <c r="SQ235" s="4"/>
      <c r="SR235" s="4"/>
      <c r="SS235" s="4"/>
      <c r="ST235" s="4"/>
      <c r="SU235" s="4"/>
      <c r="SV235" s="4"/>
      <c r="SW235" s="4"/>
      <c r="SX235" s="4"/>
      <c r="SY235" s="4"/>
      <c r="SZ235" s="4"/>
      <c r="TA235" s="4"/>
      <c r="TB235" s="4"/>
      <c r="TC235" s="4"/>
      <c r="TD235" s="4"/>
      <c r="TE235" s="4"/>
      <c r="TF235" s="4"/>
      <c r="TG235" s="4"/>
      <c r="TH235" s="4"/>
      <c r="TI235" s="4"/>
      <c r="TJ235" s="4"/>
      <c r="TK235" s="4"/>
      <c r="TL235" s="4"/>
      <c r="TM235" s="4"/>
      <c r="TN235" s="4"/>
      <c r="TO235" s="4"/>
      <c r="TP235" s="4"/>
      <c r="TQ235" s="4"/>
      <c r="TR235" s="4"/>
      <c r="TS235" s="4"/>
      <c r="TT235" s="4"/>
      <c r="TU235" s="4"/>
      <c r="TV235" s="4"/>
      <c r="TW235" s="4"/>
      <c r="TX235" s="4"/>
      <c r="TY235" s="4"/>
      <c r="TZ235" s="4"/>
      <c r="UA235" s="4"/>
      <c r="UB235" s="4"/>
      <c r="UC235" s="4"/>
      <c r="UD235" s="4"/>
      <c r="UE235" s="4"/>
      <c r="UF235" s="4"/>
      <c r="UG235" s="4"/>
      <c r="UH235" s="4"/>
      <c r="UI235" s="4"/>
      <c r="UJ235" s="4"/>
      <c r="UK235" s="4"/>
      <c r="UL235" s="4"/>
      <c r="UM235" s="4"/>
      <c r="UN235" s="4"/>
      <c r="UO235" s="4"/>
      <c r="UP235" s="4"/>
      <c r="UQ235" s="4"/>
      <c r="UR235" s="4"/>
      <c r="US235" s="4"/>
      <c r="UT235" s="4"/>
      <c r="UU235" s="4"/>
      <c r="UV235" s="4"/>
      <c r="UW235" s="4"/>
      <c r="UX235" s="4"/>
      <c r="UY235" s="4"/>
      <c r="UZ235" s="4"/>
      <c r="VA235" s="4"/>
      <c r="VB235" s="4"/>
      <c r="VC235" s="4"/>
      <c r="VD235" s="4"/>
      <c r="VE235" s="4"/>
      <c r="VF235" s="4"/>
      <c r="VG235" s="4"/>
      <c r="VH235" s="4"/>
      <c r="VI235" s="4"/>
      <c r="VJ235" s="4"/>
      <c r="VK235" s="4"/>
      <c r="VL235" s="4"/>
      <c r="VM235" s="4"/>
      <c r="VN235" s="4"/>
      <c r="VO235" s="4"/>
      <c r="VP235" s="4"/>
      <c r="VQ235" s="4"/>
      <c r="VR235" s="4"/>
      <c r="VS235" s="4"/>
      <c r="VT235" s="4"/>
      <c r="VU235" s="4"/>
      <c r="VV235" s="4"/>
      <c r="VW235" s="4"/>
      <c r="VX235" s="4"/>
      <c r="VY235" s="4"/>
      <c r="VZ235" s="4"/>
      <c r="WA235" s="4"/>
      <c r="WB235" s="4"/>
      <c r="WC235" s="4"/>
      <c r="WD235" s="4"/>
      <c r="WE235" s="4"/>
      <c r="WF235" s="4"/>
      <c r="WG235" s="4"/>
      <c r="WH235" s="4"/>
      <c r="WI235" s="4"/>
      <c r="WJ235" s="4"/>
      <c r="WK235" s="4"/>
      <c r="WL235" s="4"/>
      <c r="WM235" s="4"/>
      <c r="WN235" s="4"/>
      <c r="WO235" s="4"/>
      <c r="WP235" s="4"/>
      <c r="WQ235" s="4"/>
      <c r="WR235" s="4"/>
      <c r="WS235" s="4"/>
      <c r="WT235" s="4"/>
      <c r="WU235" s="4"/>
      <c r="WV235" s="4"/>
      <c r="WW235" s="4"/>
      <c r="WX235" s="4"/>
      <c r="WY235" s="4"/>
      <c r="WZ235" s="4"/>
      <c r="XA235" s="4"/>
      <c r="XB235" s="4"/>
      <c r="XC235" s="4"/>
      <c r="XD235" s="4"/>
      <c r="XE235" s="4"/>
      <c r="XF235" s="4"/>
      <c r="XG235" s="4"/>
      <c r="XH235" s="4"/>
      <c r="XI235" s="4"/>
      <c r="XJ235" s="4"/>
      <c r="XK235" s="4"/>
      <c r="XL235" s="4"/>
      <c r="XM235" s="4"/>
      <c r="XN235" s="4"/>
      <c r="XO235" s="4"/>
      <c r="XP235" s="4"/>
      <c r="XQ235" s="4"/>
      <c r="XR235" s="4"/>
      <c r="XS235" s="4"/>
      <c r="XT235" s="4"/>
      <c r="XU235" s="4"/>
      <c r="XV235" s="4"/>
      <c r="XW235" s="4"/>
      <c r="XX235" s="4"/>
      <c r="XY235" s="4"/>
      <c r="XZ235" s="4"/>
      <c r="YA235" s="4"/>
      <c r="YB235" s="4"/>
      <c r="YC235" s="4"/>
      <c r="YD235" s="4"/>
      <c r="YE235" s="4"/>
      <c r="YF235" s="4"/>
      <c r="YG235" s="4"/>
      <c r="YH235" s="4"/>
      <c r="YI235" s="4"/>
      <c r="YJ235" s="4"/>
      <c r="YK235" s="4"/>
      <c r="YL235" s="4"/>
      <c r="YM235" s="4"/>
      <c r="YN235" s="4"/>
      <c r="YO235" s="4"/>
      <c r="YP235" s="4"/>
      <c r="YQ235" s="4"/>
      <c r="YR235" s="4"/>
      <c r="YS235" s="4"/>
      <c r="YT235" s="4"/>
      <c r="YU235" s="4"/>
      <c r="YV235" s="4"/>
      <c r="YW235" s="4"/>
      <c r="YX235" s="4"/>
      <c r="YY235" s="4"/>
      <c r="YZ235" s="4"/>
      <c r="ZA235" s="4"/>
      <c r="ZB235" s="4"/>
      <c r="ZC235" s="4"/>
      <c r="ZD235" s="4"/>
      <c r="ZE235" s="4"/>
      <c r="ZF235" s="4"/>
      <c r="ZG235" s="4"/>
      <c r="ZH235" s="4"/>
      <c r="ZI235" s="4"/>
      <c r="ZJ235" s="4"/>
      <c r="ZK235" s="4"/>
      <c r="ZL235" s="4"/>
      <c r="ZM235" s="4"/>
      <c r="ZN235" s="4"/>
      <c r="ZO235" s="4"/>
      <c r="ZP235" s="4"/>
      <c r="ZQ235" s="4"/>
      <c r="ZR235" s="4"/>
      <c r="ZS235" s="4"/>
      <c r="ZT235" s="4"/>
      <c r="ZU235" s="4"/>
      <c r="ZV235" s="4"/>
      <c r="ZW235" s="4"/>
      <c r="ZX235" s="4"/>
      <c r="ZY235" s="4"/>
      <c r="ZZ235" s="4"/>
      <c r="AAA235" s="4"/>
      <c r="AAB235" s="4"/>
      <c r="AAC235" s="4"/>
      <c r="AAD235" s="4"/>
    </row>
    <row r="236" spans="1:706" ht="15" customHeight="1" x14ac:dyDescent="0.15">
      <c r="A236" s="13"/>
      <c r="B236" s="21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13"/>
      <c r="DO236" s="24"/>
    </row>
    <row r="237" spans="1:706" ht="4.5" customHeight="1" x14ac:dyDescent="0.15">
      <c r="A237" s="13"/>
      <c r="B237" s="21"/>
      <c r="C237" s="22"/>
      <c r="D237" s="22"/>
      <c r="E237" s="22"/>
      <c r="F237" s="58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  <c r="BA237" s="59"/>
      <c r="BB237" s="59"/>
      <c r="BC237" s="59"/>
      <c r="BD237" s="59"/>
      <c r="BE237" s="59"/>
      <c r="BF237" s="59"/>
      <c r="BG237" s="59"/>
      <c r="BH237" s="59"/>
      <c r="BI237" s="59"/>
      <c r="BJ237" s="59"/>
      <c r="BK237" s="59"/>
      <c r="BL237" s="59"/>
      <c r="BM237" s="59"/>
      <c r="BN237" s="59"/>
      <c r="BO237" s="59"/>
      <c r="BP237" s="59"/>
      <c r="BQ237" s="59"/>
      <c r="BR237" s="59"/>
      <c r="BS237" s="59"/>
      <c r="BT237" s="59"/>
      <c r="BU237" s="59"/>
      <c r="BV237" s="59"/>
      <c r="BW237" s="59"/>
      <c r="BX237" s="59"/>
      <c r="BY237" s="59"/>
      <c r="BZ237" s="59"/>
      <c r="CA237" s="59"/>
      <c r="CB237" s="59"/>
      <c r="CC237" s="59"/>
      <c r="CD237" s="59"/>
      <c r="CE237" s="59"/>
      <c r="CF237" s="59"/>
      <c r="CG237" s="59"/>
      <c r="CH237" s="59"/>
      <c r="CI237" s="59"/>
      <c r="CJ237" s="59"/>
      <c r="CK237" s="59"/>
      <c r="CL237" s="59"/>
      <c r="CM237" s="59"/>
      <c r="CN237" s="59"/>
      <c r="CO237" s="59"/>
      <c r="CP237" s="59"/>
      <c r="CQ237" s="59"/>
      <c r="CR237" s="59"/>
      <c r="CS237" s="59"/>
      <c r="CT237" s="59"/>
      <c r="CU237" s="59"/>
      <c r="CV237" s="59"/>
      <c r="CW237" s="59"/>
      <c r="CX237" s="59"/>
      <c r="CY237" s="59"/>
      <c r="CZ237" s="59"/>
      <c r="DA237" s="59"/>
      <c r="DB237" s="59"/>
      <c r="DC237" s="59"/>
      <c r="DD237" s="59"/>
      <c r="DE237" s="59"/>
      <c r="DF237" s="59"/>
      <c r="DG237" s="59"/>
      <c r="DH237" s="59"/>
      <c r="DI237" s="59"/>
      <c r="DJ237" s="60"/>
      <c r="DK237" s="22"/>
      <c r="DL237" s="22"/>
      <c r="DM237" s="22"/>
      <c r="DN237" s="13"/>
      <c r="DO237" s="24"/>
    </row>
    <row r="238" spans="1:706" ht="39.75" customHeight="1" x14ac:dyDescent="0.15">
      <c r="A238" s="13"/>
      <c r="B238" s="21"/>
      <c r="C238" s="22"/>
      <c r="D238" s="22"/>
      <c r="E238" s="22"/>
      <c r="F238" s="61"/>
      <c r="G238" s="188" t="s">
        <v>130</v>
      </c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  <c r="AH238" s="106"/>
      <c r="AI238" s="106"/>
      <c r="AJ238" s="106"/>
      <c r="AK238" s="106"/>
      <c r="AL238" s="106"/>
      <c r="AM238" s="106"/>
      <c r="AN238" s="106"/>
      <c r="AO238" s="107"/>
      <c r="AP238" s="73"/>
      <c r="AQ238" s="188" t="s">
        <v>131</v>
      </c>
      <c r="AR238" s="106"/>
      <c r="AS238" s="106"/>
      <c r="AT238" s="106"/>
      <c r="AU238" s="106"/>
      <c r="AV238" s="106"/>
      <c r="AW238" s="106"/>
      <c r="AX238" s="106"/>
      <c r="AY238" s="106"/>
      <c r="AZ238" s="106"/>
      <c r="BA238" s="106"/>
      <c r="BB238" s="106"/>
      <c r="BC238" s="106"/>
      <c r="BD238" s="106"/>
      <c r="BE238" s="106"/>
      <c r="BF238" s="106"/>
      <c r="BG238" s="106"/>
      <c r="BH238" s="106"/>
      <c r="BI238" s="106"/>
      <c r="BJ238" s="106"/>
      <c r="BK238" s="106"/>
      <c r="BL238" s="106"/>
      <c r="BM238" s="106"/>
      <c r="BN238" s="106"/>
      <c r="BO238" s="106"/>
      <c r="BP238" s="106"/>
      <c r="BQ238" s="106"/>
      <c r="BR238" s="106"/>
      <c r="BS238" s="106"/>
      <c r="BT238" s="106"/>
      <c r="BU238" s="106"/>
      <c r="BV238" s="106"/>
      <c r="BW238" s="106"/>
      <c r="BX238" s="106"/>
      <c r="BY238" s="107"/>
      <c r="BZ238" s="73"/>
      <c r="CA238" s="188" t="s">
        <v>132</v>
      </c>
      <c r="CB238" s="106"/>
      <c r="CC238" s="106"/>
      <c r="CD238" s="106"/>
      <c r="CE238" s="106"/>
      <c r="CF238" s="106"/>
      <c r="CG238" s="106"/>
      <c r="CH238" s="106"/>
      <c r="CI238" s="106"/>
      <c r="CJ238" s="106"/>
      <c r="CK238" s="106"/>
      <c r="CL238" s="106"/>
      <c r="CM238" s="106"/>
      <c r="CN238" s="106"/>
      <c r="CO238" s="106"/>
      <c r="CP238" s="106"/>
      <c r="CQ238" s="106"/>
      <c r="CR238" s="106"/>
      <c r="CS238" s="106"/>
      <c r="CT238" s="106"/>
      <c r="CU238" s="106"/>
      <c r="CV238" s="106"/>
      <c r="CW238" s="106"/>
      <c r="CX238" s="106"/>
      <c r="CY238" s="106"/>
      <c r="CZ238" s="106"/>
      <c r="DA238" s="106"/>
      <c r="DB238" s="106"/>
      <c r="DC238" s="106"/>
      <c r="DD238" s="106"/>
      <c r="DE238" s="106"/>
      <c r="DF238" s="106"/>
      <c r="DG238" s="106"/>
      <c r="DH238" s="106"/>
      <c r="DI238" s="107"/>
      <c r="DJ238" s="62"/>
      <c r="DK238" s="22"/>
      <c r="DL238" s="22"/>
      <c r="DM238" s="22"/>
      <c r="DN238" s="13"/>
      <c r="DO238" s="24"/>
    </row>
    <row r="239" spans="1:706" ht="4.5" customHeight="1" x14ac:dyDescent="0.15">
      <c r="A239" s="13"/>
      <c r="B239" s="21"/>
      <c r="C239" s="22"/>
      <c r="D239" s="22"/>
      <c r="E239" s="22"/>
      <c r="F239" s="61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69"/>
      <c r="AJ239" s="69"/>
      <c r="AK239" s="69"/>
      <c r="AL239" s="69"/>
      <c r="AM239" s="69"/>
      <c r="AN239" s="69"/>
      <c r="AO239" s="69"/>
      <c r="AP239" s="69"/>
      <c r="AQ239" s="69"/>
      <c r="AR239" s="69"/>
      <c r="AS239" s="69"/>
      <c r="AT239" s="69"/>
      <c r="AU239" s="69"/>
      <c r="AV239" s="69"/>
      <c r="AW239" s="69"/>
      <c r="AX239" s="69"/>
      <c r="AY239" s="69"/>
      <c r="AZ239" s="69"/>
      <c r="BA239" s="69"/>
      <c r="BB239" s="69"/>
      <c r="BC239" s="69"/>
      <c r="BD239" s="69"/>
      <c r="BE239" s="69"/>
      <c r="BF239" s="69"/>
      <c r="BG239" s="69"/>
      <c r="BH239" s="69"/>
      <c r="BI239" s="69"/>
      <c r="BJ239" s="69"/>
      <c r="BK239" s="69"/>
      <c r="BL239" s="69"/>
      <c r="BM239" s="69"/>
      <c r="BN239" s="69"/>
      <c r="BO239" s="69"/>
      <c r="BP239" s="69"/>
      <c r="BQ239" s="69"/>
      <c r="BR239" s="69"/>
      <c r="BS239" s="69"/>
      <c r="BT239" s="69"/>
      <c r="BU239" s="69"/>
      <c r="BV239" s="69"/>
      <c r="BW239" s="69"/>
      <c r="BX239" s="69"/>
      <c r="BY239" s="69"/>
      <c r="BZ239" s="69"/>
      <c r="CA239" s="69"/>
      <c r="CB239" s="69"/>
      <c r="CC239" s="69"/>
      <c r="CD239" s="69"/>
      <c r="CE239" s="69"/>
      <c r="CF239" s="69"/>
      <c r="CG239" s="69"/>
      <c r="CH239" s="69"/>
      <c r="CI239" s="69"/>
      <c r="CJ239" s="69"/>
      <c r="CK239" s="69"/>
      <c r="CL239" s="69"/>
      <c r="CM239" s="69"/>
      <c r="CN239" s="69"/>
      <c r="CO239" s="69"/>
      <c r="CP239" s="69"/>
      <c r="CQ239" s="69"/>
      <c r="CR239" s="69"/>
      <c r="CS239" s="69"/>
      <c r="CT239" s="69"/>
      <c r="CU239" s="69"/>
      <c r="CV239" s="69"/>
      <c r="CW239" s="69"/>
      <c r="CX239" s="69"/>
      <c r="CY239" s="69"/>
      <c r="CZ239" s="69"/>
      <c r="DA239" s="69"/>
      <c r="DB239" s="69"/>
      <c r="DC239" s="69"/>
      <c r="DD239" s="69"/>
      <c r="DE239" s="69"/>
      <c r="DF239" s="69"/>
      <c r="DG239" s="69"/>
      <c r="DH239" s="69"/>
      <c r="DI239" s="69"/>
      <c r="DJ239" s="62"/>
      <c r="DK239" s="22"/>
      <c r="DL239" s="22"/>
      <c r="DM239" s="22"/>
      <c r="DN239" s="13"/>
      <c r="DO239" s="24"/>
    </row>
    <row r="240" spans="1:706" ht="39.75" customHeight="1" x14ac:dyDescent="0.15">
      <c r="A240" s="13"/>
      <c r="B240" s="21"/>
      <c r="C240" s="22"/>
      <c r="D240" s="22"/>
      <c r="E240" s="22"/>
      <c r="F240" s="61"/>
      <c r="G240" s="189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  <c r="AF240" s="118"/>
      <c r="AG240" s="118"/>
      <c r="AH240" s="118"/>
      <c r="AI240" s="118"/>
      <c r="AJ240" s="118"/>
      <c r="AK240" s="118"/>
      <c r="AL240" s="118"/>
      <c r="AM240" s="118"/>
      <c r="AN240" s="118"/>
      <c r="AO240" s="118"/>
      <c r="AP240" s="73"/>
      <c r="AQ240" s="190" t="s">
        <v>133</v>
      </c>
      <c r="AR240" s="118"/>
      <c r="AS240" s="118"/>
      <c r="AT240" s="118"/>
      <c r="AU240" s="118"/>
      <c r="AV240" s="118"/>
      <c r="AW240" s="118"/>
      <c r="AX240" s="118"/>
      <c r="AY240" s="118"/>
      <c r="AZ240" s="118"/>
      <c r="BA240" s="118"/>
      <c r="BB240" s="118"/>
      <c r="BC240" s="118"/>
      <c r="BD240" s="118"/>
      <c r="BE240" s="118"/>
      <c r="BF240" s="118"/>
      <c r="BG240" s="118"/>
      <c r="BH240" s="118"/>
      <c r="BI240" s="118"/>
      <c r="BJ240" s="118"/>
      <c r="BK240" s="118"/>
      <c r="BL240" s="118"/>
      <c r="BM240" s="118"/>
      <c r="BN240" s="118"/>
      <c r="BO240" s="118"/>
      <c r="BP240" s="118"/>
      <c r="BQ240" s="118"/>
      <c r="BR240" s="118"/>
      <c r="BS240" s="118"/>
      <c r="BT240" s="118"/>
      <c r="BU240" s="118"/>
      <c r="BV240" s="118"/>
      <c r="BW240" s="118"/>
      <c r="BX240" s="118"/>
      <c r="BY240" s="118"/>
      <c r="BZ240" s="73"/>
      <c r="CA240" s="190" t="s">
        <v>134</v>
      </c>
      <c r="CB240" s="118"/>
      <c r="CC240" s="118"/>
      <c r="CD240" s="118"/>
      <c r="CE240" s="118"/>
      <c r="CF240" s="118"/>
      <c r="CG240" s="118"/>
      <c r="CH240" s="118"/>
      <c r="CI240" s="118"/>
      <c r="CJ240" s="118"/>
      <c r="CK240" s="118"/>
      <c r="CL240" s="118"/>
      <c r="CM240" s="118"/>
      <c r="CN240" s="118"/>
      <c r="CO240" s="118"/>
      <c r="CP240" s="118"/>
      <c r="CQ240" s="118"/>
      <c r="CR240" s="118"/>
      <c r="CS240" s="118"/>
      <c r="CT240" s="118"/>
      <c r="CU240" s="118"/>
      <c r="CV240" s="118"/>
      <c r="CW240" s="118"/>
      <c r="CX240" s="118"/>
      <c r="CY240" s="118"/>
      <c r="CZ240" s="118"/>
      <c r="DA240" s="118"/>
      <c r="DB240" s="118"/>
      <c r="DC240" s="118"/>
      <c r="DD240" s="118"/>
      <c r="DE240" s="118"/>
      <c r="DF240" s="118"/>
      <c r="DG240" s="118"/>
      <c r="DH240" s="118"/>
      <c r="DI240" s="118"/>
      <c r="DJ240" s="62"/>
      <c r="DK240" s="22"/>
      <c r="DL240" s="22"/>
      <c r="DM240" s="22"/>
      <c r="DN240" s="13"/>
      <c r="DO240" s="24"/>
    </row>
    <row r="241" spans="1:706" ht="4.5" customHeight="1" x14ac:dyDescent="0.15">
      <c r="A241" s="13"/>
      <c r="B241" s="21"/>
      <c r="C241" s="22"/>
      <c r="D241" s="22"/>
      <c r="E241" s="22"/>
      <c r="F241" s="61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69"/>
      <c r="AJ241" s="69"/>
      <c r="AK241" s="69"/>
      <c r="AL241" s="69"/>
      <c r="AM241" s="69"/>
      <c r="AN241" s="69"/>
      <c r="AO241" s="69"/>
      <c r="AP241" s="69"/>
      <c r="AQ241" s="69"/>
      <c r="AR241" s="69"/>
      <c r="AS241" s="69"/>
      <c r="AT241" s="69"/>
      <c r="AU241" s="69"/>
      <c r="AV241" s="69"/>
      <c r="AW241" s="69"/>
      <c r="AX241" s="69"/>
      <c r="AY241" s="69"/>
      <c r="AZ241" s="69"/>
      <c r="BA241" s="69"/>
      <c r="BB241" s="69"/>
      <c r="BC241" s="69"/>
      <c r="BD241" s="69"/>
      <c r="BE241" s="69"/>
      <c r="BF241" s="69"/>
      <c r="BG241" s="69"/>
      <c r="BH241" s="69"/>
      <c r="BI241" s="69"/>
      <c r="BJ241" s="69"/>
      <c r="BK241" s="69"/>
      <c r="BL241" s="69"/>
      <c r="BM241" s="69"/>
      <c r="BN241" s="69"/>
      <c r="BO241" s="69"/>
      <c r="BP241" s="69"/>
      <c r="BQ241" s="69"/>
      <c r="BR241" s="69"/>
      <c r="BS241" s="69"/>
      <c r="BT241" s="69"/>
      <c r="BU241" s="69"/>
      <c r="BV241" s="69"/>
      <c r="BW241" s="69"/>
      <c r="BX241" s="69"/>
      <c r="BY241" s="69"/>
      <c r="BZ241" s="69"/>
      <c r="CA241" s="69"/>
      <c r="CB241" s="87"/>
      <c r="CC241" s="87"/>
      <c r="CD241" s="87"/>
      <c r="CE241" s="87"/>
      <c r="CF241" s="87"/>
      <c r="CG241" s="87"/>
      <c r="CH241" s="87"/>
      <c r="CI241" s="87"/>
      <c r="CJ241" s="87"/>
      <c r="CK241" s="87"/>
      <c r="CL241" s="87"/>
      <c r="CM241" s="87"/>
      <c r="CN241" s="87"/>
      <c r="CO241" s="87"/>
      <c r="CP241" s="87"/>
      <c r="CQ241" s="87"/>
      <c r="CR241" s="87"/>
      <c r="CS241" s="87"/>
      <c r="CT241" s="87"/>
      <c r="CU241" s="87"/>
      <c r="CV241" s="87"/>
      <c r="CW241" s="87"/>
      <c r="CX241" s="87"/>
      <c r="CY241" s="87"/>
      <c r="CZ241" s="87"/>
      <c r="DA241" s="87"/>
      <c r="DB241" s="87"/>
      <c r="DC241" s="87"/>
      <c r="DD241" s="87"/>
      <c r="DE241" s="87"/>
      <c r="DF241" s="87"/>
      <c r="DG241" s="87"/>
      <c r="DH241" s="87"/>
      <c r="DI241" s="87"/>
      <c r="DJ241" s="62"/>
      <c r="DK241" s="22"/>
      <c r="DL241" s="22"/>
      <c r="DM241" s="22"/>
      <c r="DN241" s="13"/>
      <c r="DO241" s="24"/>
    </row>
    <row r="242" spans="1:706" ht="39.75" customHeight="1" x14ac:dyDescent="0.15">
      <c r="A242" s="13"/>
      <c r="B242" s="21"/>
      <c r="C242" s="22"/>
      <c r="D242" s="22"/>
      <c r="E242" s="22"/>
      <c r="F242" s="61"/>
      <c r="G242" s="189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  <c r="AE242" s="118"/>
      <c r="AF242" s="118"/>
      <c r="AG242" s="118"/>
      <c r="AH242" s="118"/>
      <c r="AI242" s="118"/>
      <c r="AJ242" s="118"/>
      <c r="AK242" s="118"/>
      <c r="AL242" s="118"/>
      <c r="AM242" s="118"/>
      <c r="AN242" s="118"/>
      <c r="AO242" s="118"/>
      <c r="AP242" s="73"/>
      <c r="AQ242" s="190" t="s">
        <v>135</v>
      </c>
      <c r="AR242" s="118"/>
      <c r="AS242" s="118"/>
      <c r="AT242" s="118"/>
      <c r="AU242" s="118"/>
      <c r="AV242" s="118"/>
      <c r="AW242" s="118"/>
      <c r="AX242" s="118"/>
      <c r="AY242" s="118"/>
      <c r="AZ242" s="118"/>
      <c r="BA242" s="118"/>
      <c r="BB242" s="118"/>
      <c r="BC242" s="118"/>
      <c r="BD242" s="118"/>
      <c r="BE242" s="118"/>
      <c r="BF242" s="118"/>
      <c r="BG242" s="118"/>
      <c r="BH242" s="118"/>
      <c r="BI242" s="118"/>
      <c r="BJ242" s="118"/>
      <c r="BK242" s="118"/>
      <c r="BL242" s="118"/>
      <c r="BM242" s="118"/>
      <c r="BN242" s="118"/>
      <c r="BO242" s="118"/>
      <c r="BP242" s="118"/>
      <c r="BQ242" s="118"/>
      <c r="BR242" s="118"/>
      <c r="BS242" s="118"/>
      <c r="BT242" s="118"/>
      <c r="BU242" s="118"/>
      <c r="BV242" s="118"/>
      <c r="BW242" s="118"/>
      <c r="BX242" s="118"/>
      <c r="BY242" s="118"/>
      <c r="BZ242" s="73"/>
      <c r="CA242" s="206" t="s">
        <v>136</v>
      </c>
      <c r="CB242" s="118"/>
      <c r="CC242" s="118"/>
      <c r="CD242" s="118"/>
      <c r="CE242" s="118"/>
      <c r="CF242" s="118"/>
      <c r="CG242" s="118"/>
      <c r="CH242" s="118"/>
      <c r="CI242" s="118"/>
      <c r="CJ242" s="118"/>
      <c r="CK242" s="118"/>
      <c r="CL242" s="118"/>
      <c r="CM242" s="118"/>
      <c r="CN242" s="118"/>
      <c r="CO242" s="118"/>
      <c r="CP242" s="118"/>
      <c r="CQ242" s="118"/>
      <c r="CR242" s="118"/>
      <c r="CS242" s="118"/>
      <c r="CT242" s="118"/>
      <c r="CU242" s="118"/>
      <c r="CV242" s="118"/>
      <c r="CW242" s="118"/>
      <c r="CX242" s="118"/>
      <c r="CY242" s="118"/>
      <c r="CZ242" s="118"/>
      <c r="DA242" s="118"/>
      <c r="DB242" s="118"/>
      <c r="DC242" s="118"/>
      <c r="DD242" s="118"/>
      <c r="DE242" s="118"/>
      <c r="DF242" s="118"/>
      <c r="DG242" s="118"/>
      <c r="DH242" s="118"/>
      <c r="DI242" s="118"/>
      <c r="DJ242" s="62"/>
      <c r="DK242" s="22"/>
      <c r="DL242" s="22"/>
      <c r="DM242" s="22"/>
      <c r="DN242" s="13"/>
      <c r="DO242" s="24"/>
    </row>
    <row r="243" spans="1:706" ht="4.5" customHeight="1" x14ac:dyDescent="0.15">
      <c r="A243" s="13"/>
      <c r="B243" s="21"/>
      <c r="C243" s="22"/>
      <c r="D243" s="22"/>
      <c r="E243" s="22"/>
      <c r="F243" s="61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69"/>
      <c r="AJ243" s="69"/>
      <c r="AK243" s="69"/>
      <c r="AL243" s="69"/>
      <c r="AM243" s="69"/>
      <c r="AN243" s="69"/>
      <c r="AO243" s="69"/>
      <c r="AP243" s="69"/>
      <c r="AQ243" s="69"/>
      <c r="AR243" s="69"/>
      <c r="AS243" s="69"/>
      <c r="AT243" s="69"/>
      <c r="AU243" s="69"/>
      <c r="AV243" s="69"/>
      <c r="AW243" s="69"/>
      <c r="AX243" s="69"/>
      <c r="AY243" s="69"/>
      <c r="AZ243" s="69"/>
      <c r="BA243" s="69"/>
      <c r="BB243" s="69"/>
      <c r="BC243" s="69"/>
      <c r="BD243" s="69"/>
      <c r="BE243" s="69"/>
      <c r="BF243" s="69"/>
      <c r="BG243" s="69"/>
      <c r="BH243" s="69"/>
      <c r="BI243" s="69"/>
      <c r="BJ243" s="69"/>
      <c r="BK243" s="69"/>
      <c r="BL243" s="69"/>
      <c r="BM243" s="69"/>
      <c r="BN243" s="69"/>
      <c r="BO243" s="69"/>
      <c r="BP243" s="69"/>
      <c r="BQ243" s="69"/>
      <c r="BR243" s="69"/>
      <c r="BS243" s="69"/>
      <c r="BT243" s="69"/>
      <c r="BU243" s="69"/>
      <c r="BV243" s="69"/>
      <c r="BW243" s="69"/>
      <c r="BX243" s="69"/>
      <c r="BY243" s="69"/>
      <c r="BZ243" s="69"/>
      <c r="CA243" s="69"/>
      <c r="CB243" s="87"/>
      <c r="CC243" s="87"/>
      <c r="CD243" s="87"/>
      <c r="CE243" s="87"/>
      <c r="CF243" s="87"/>
      <c r="CG243" s="87"/>
      <c r="CH243" s="87"/>
      <c r="CI243" s="87"/>
      <c r="CJ243" s="87"/>
      <c r="CK243" s="87"/>
      <c r="CL243" s="87"/>
      <c r="CM243" s="87"/>
      <c r="CN243" s="87"/>
      <c r="CO243" s="87"/>
      <c r="CP243" s="87"/>
      <c r="CQ243" s="87"/>
      <c r="CR243" s="87"/>
      <c r="CS243" s="87"/>
      <c r="CT243" s="87"/>
      <c r="CU243" s="87"/>
      <c r="CV243" s="87"/>
      <c r="CW243" s="87"/>
      <c r="CX243" s="87"/>
      <c r="CY243" s="87"/>
      <c r="CZ243" s="87"/>
      <c r="DA243" s="87"/>
      <c r="DB243" s="87"/>
      <c r="DC243" s="87"/>
      <c r="DD243" s="87"/>
      <c r="DE243" s="87"/>
      <c r="DF243" s="87"/>
      <c r="DG243" s="87"/>
      <c r="DH243" s="87"/>
      <c r="DI243" s="87"/>
      <c r="DJ243" s="62"/>
      <c r="DK243" s="22"/>
      <c r="DL243" s="22"/>
      <c r="DM243" s="22"/>
      <c r="DN243" s="13"/>
      <c r="DO243" s="24"/>
    </row>
    <row r="244" spans="1:706" ht="39.75" customHeight="1" x14ac:dyDescent="0.15">
      <c r="A244" s="13"/>
      <c r="B244" s="21"/>
      <c r="C244" s="22"/>
      <c r="D244" s="22"/>
      <c r="E244" s="22"/>
      <c r="F244" s="61"/>
      <c r="G244" s="189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8"/>
      <c r="AE244" s="118"/>
      <c r="AF244" s="118"/>
      <c r="AG244" s="118"/>
      <c r="AH244" s="118"/>
      <c r="AI244" s="118"/>
      <c r="AJ244" s="118"/>
      <c r="AK244" s="118"/>
      <c r="AL244" s="118"/>
      <c r="AM244" s="118"/>
      <c r="AN244" s="118"/>
      <c r="AO244" s="118"/>
      <c r="AP244" s="73"/>
      <c r="AQ244" s="190"/>
      <c r="AR244" s="118"/>
      <c r="AS244" s="118"/>
      <c r="AT244" s="118"/>
      <c r="AU244" s="118"/>
      <c r="AV244" s="118"/>
      <c r="AW244" s="118"/>
      <c r="AX244" s="118"/>
      <c r="AY244" s="118"/>
      <c r="AZ244" s="118"/>
      <c r="BA244" s="118"/>
      <c r="BB244" s="118"/>
      <c r="BC244" s="118"/>
      <c r="BD244" s="118"/>
      <c r="BE244" s="118"/>
      <c r="BF244" s="118"/>
      <c r="BG244" s="118"/>
      <c r="BH244" s="118"/>
      <c r="BI244" s="118"/>
      <c r="BJ244" s="118"/>
      <c r="BK244" s="118"/>
      <c r="BL244" s="118"/>
      <c r="BM244" s="118"/>
      <c r="BN244" s="118"/>
      <c r="BO244" s="118"/>
      <c r="BP244" s="118"/>
      <c r="BQ244" s="118"/>
      <c r="BR244" s="118"/>
      <c r="BS244" s="118"/>
      <c r="BT244" s="118"/>
      <c r="BU244" s="118"/>
      <c r="BV244" s="118"/>
      <c r="BW244" s="118"/>
      <c r="BX244" s="118"/>
      <c r="BY244" s="118"/>
      <c r="BZ244" s="73"/>
      <c r="CA244" s="206"/>
      <c r="CB244" s="118"/>
      <c r="CC244" s="118"/>
      <c r="CD244" s="118"/>
      <c r="CE244" s="118"/>
      <c r="CF244" s="118"/>
      <c r="CG244" s="118"/>
      <c r="CH244" s="118"/>
      <c r="CI244" s="118"/>
      <c r="CJ244" s="118"/>
      <c r="CK244" s="118"/>
      <c r="CL244" s="118"/>
      <c r="CM244" s="118"/>
      <c r="CN244" s="118"/>
      <c r="CO244" s="118"/>
      <c r="CP244" s="118"/>
      <c r="CQ244" s="118"/>
      <c r="CR244" s="118"/>
      <c r="CS244" s="118"/>
      <c r="CT244" s="118"/>
      <c r="CU244" s="118"/>
      <c r="CV244" s="118"/>
      <c r="CW244" s="118"/>
      <c r="CX244" s="118"/>
      <c r="CY244" s="118"/>
      <c r="CZ244" s="118"/>
      <c r="DA244" s="118"/>
      <c r="DB244" s="118"/>
      <c r="DC244" s="118"/>
      <c r="DD244" s="118"/>
      <c r="DE244" s="118"/>
      <c r="DF244" s="118"/>
      <c r="DG244" s="118"/>
      <c r="DH244" s="118"/>
      <c r="DI244" s="118"/>
      <c r="DJ244" s="62"/>
      <c r="DK244" s="22"/>
      <c r="DL244" s="22"/>
      <c r="DM244" s="22"/>
      <c r="DN244" s="13"/>
      <c r="DO244" s="24"/>
    </row>
    <row r="245" spans="1:706" ht="4.5" customHeight="1" x14ac:dyDescent="0.15">
      <c r="A245" s="13"/>
      <c r="B245" s="21"/>
      <c r="C245" s="22"/>
      <c r="D245" s="22"/>
      <c r="E245" s="22"/>
      <c r="F245" s="63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AV245" s="64"/>
      <c r="AW245" s="64"/>
      <c r="AX245" s="64"/>
      <c r="AY245" s="64"/>
      <c r="AZ245" s="64"/>
      <c r="BA245" s="64"/>
      <c r="BB245" s="64"/>
      <c r="BC245" s="64"/>
      <c r="BD245" s="64"/>
      <c r="BE245" s="64"/>
      <c r="BF245" s="64"/>
      <c r="BG245" s="64"/>
      <c r="BH245" s="64"/>
      <c r="BI245" s="64"/>
      <c r="BJ245" s="64"/>
      <c r="BK245" s="64"/>
      <c r="BL245" s="64"/>
      <c r="BM245" s="64"/>
      <c r="BN245" s="64"/>
      <c r="BO245" s="64"/>
      <c r="BP245" s="64"/>
      <c r="BQ245" s="64"/>
      <c r="BR245" s="64"/>
      <c r="BS245" s="64"/>
      <c r="BT245" s="64"/>
      <c r="BU245" s="64"/>
      <c r="BV245" s="64"/>
      <c r="BW245" s="64"/>
      <c r="BX245" s="64"/>
      <c r="BY245" s="64"/>
      <c r="BZ245" s="64"/>
      <c r="CA245" s="64"/>
      <c r="CB245" s="64"/>
      <c r="CC245" s="64"/>
      <c r="CD245" s="64"/>
      <c r="CE245" s="64"/>
      <c r="CF245" s="64"/>
      <c r="CG245" s="64"/>
      <c r="CH245" s="64"/>
      <c r="CI245" s="64"/>
      <c r="CJ245" s="64"/>
      <c r="CK245" s="64"/>
      <c r="CL245" s="64"/>
      <c r="CM245" s="64"/>
      <c r="CN245" s="64"/>
      <c r="CO245" s="64"/>
      <c r="CP245" s="64"/>
      <c r="CQ245" s="64"/>
      <c r="CR245" s="64"/>
      <c r="CS245" s="64"/>
      <c r="CT245" s="64"/>
      <c r="CU245" s="64"/>
      <c r="CV245" s="64"/>
      <c r="CW245" s="64"/>
      <c r="CX245" s="64"/>
      <c r="CY245" s="64"/>
      <c r="CZ245" s="64"/>
      <c r="DA245" s="64"/>
      <c r="DB245" s="64"/>
      <c r="DC245" s="64"/>
      <c r="DD245" s="64"/>
      <c r="DE245" s="64"/>
      <c r="DF245" s="64"/>
      <c r="DG245" s="64"/>
      <c r="DH245" s="64"/>
      <c r="DI245" s="64"/>
      <c r="DJ245" s="65"/>
      <c r="DK245" s="22"/>
      <c r="DL245" s="22"/>
      <c r="DM245" s="22"/>
      <c r="DN245" s="13"/>
      <c r="DO245" s="24"/>
    </row>
    <row r="246" spans="1:706" ht="15" customHeight="1" x14ac:dyDescent="0.15">
      <c r="A246" s="13"/>
      <c r="B246" s="21"/>
      <c r="C246" s="22"/>
      <c r="D246" s="22"/>
      <c r="E246" s="22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  <c r="BS246" s="31"/>
      <c r="BT246" s="31"/>
      <c r="BU246" s="31"/>
      <c r="BV246" s="31"/>
      <c r="BW246" s="31"/>
      <c r="BX246" s="31"/>
      <c r="BY246" s="31"/>
      <c r="BZ246" s="31"/>
      <c r="CA246" s="31"/>
      <c r="CB246" s="31"/>
      <c r="CC246" s="31"/>
      <c r="CD246" s="31"/>
      <c r="CE246" s="31"/>
      <c r="CF246" s="31"/>
      <c r="CG246" s="31"/>
      <c r="CH246" s="31"/>
      <c r="CI246" s="31"/>
      <c r="CJ246" s="31"/>
      <c r="CK246" s="31"/>
      <c r="CL246" s="31"/>
      <c r="CM246" s="31"/>
      <c r="CN246" s="31"/>
      <c r="CO246" s="31"/>
      <c r="CP246" s="31"/>
      <c r="CQ246" s="31"/>
      <c r="CR246" s="31"/>
      <c r="CS246" s="31"/>
      <c r="CT246" s="31"/>
      <c r="CU246" s="31"/>
      <c r="CV246" s="31"/>
      <c r="CW246" s="31"/>
      <c r="CX246" s="31"/>
      <c r="CY246" s="31"/>
      <c r="CZ246" s="31"/>
      <c r="DA246" s="31"/>
      <c r="DB246" s="31"/>
      <c r="DC246" s="31"/>
      <c r="DD246" s="31"/>
      <c r="DE246" s="31"/>
      <c r="DF246" s="31"/>
      <c r="DG246" s="31"/>
      <c r="DH246" s="31"/>
      <c r="DI246" s="31"/>
      <c r="DJ246" s="31"/>
      <c r="DK246" s="22"/>
      <c r="DL246" s="22"/>
      <c r="DM246" s="22"/>
      <c r="DN246" s="13"/>
      <c r="DO246" s="24"/>
    </row>
    <row r="247" spans="1:706" ht="4.5" customHeight="1" x14ac:dyDescent="0.15">
      <c r="DN247" s="13"/>
    </row>
    <row r="248" spans="1:706" ht="4.5" customHeight="1" x14ac:dyDescent="0.15">
      <c r="DN248" s="13"/>
    </row>
    <row r="249" spans="1:706" ht="15" customHeight="1" x14ac:dyDescent="0.15">
      <c r="A249" s="4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C249" s="4"/>
      <c r="HD249" s="4"/>
      <c r="HE249" s="4"/>
      <c r="HF249" s="4"/>
      <c r="HG249" s="4"/>
      <c r="HH249" s="4"/>
      <c r="HI249" s="4"/>
      <c r="HJ249" s="4"/>
      <c r="HK249" s="4"/>
      <c r="HL249" s="4"/>
      <c r="HM249" s="4"/>
      <c r="HN249" s="4"/>
      <c r="HO249" s="4"/>
      <c r="HP249" s="4"/>
      <c r="HQ249" s="4"/>
      <c r="HR249" s="4"/>
      <c r="HS249" s="4"/>
      <c r="HT249" s="4"/>
      <c r="HU249" s="4"/>
      <c r="HV249" s="4"/>
      <c r="HW249" s="4"/>
      <c r="HX249" s="4"/>
      <c r="HY249" s="4"/>
      <c r="HZ249" s="4"/>
      <c r="IA249" s="4"/>
      <c r="IB249" s="4"/>
      <c r="IC249" s="4"/>
      <c r="ID249" s="4"/>
      <c r="IE249" s="4"/>
      <c r="IF249" s="4"/>
      <c r="IG249" s="4"/>
      <c r="IH249" s="4"/>
      <c r="II249" s="4"/>
      <c r="IJ249" s="4"/>
      <c r="IK249" s="4"/>
      <c r="IL249" s="4"/>
      <c r="IM249" s="4"/>
      <c r="IN249" s="4"/>
      <c r="IO249" s="4"/>
      <c r="IP249" s="4"/>
      <c r="IQ249" s="4"/>
      <c r="IR249" s="4"/>
      <c r="IS249" s="4"/>
      <c r="IT249" s="4"/>
      <c r="IU249" s="4"/>
      <c r="IV249" s="4"/>
      <c r="IW249" s="4"/>
      <c r="IX249" s="4"/>
      <c r="IY249" s="4"/>
      <c r="IZ249" s="4"/>
      <c r="JA249" s="4"/>
      <c r="JB249" s="4"/>
      <c r="JC249" s="4"/>
      <c r="JD249" s="4"/>
      <c r="JE249" s="4"/>
      <c r="JF249" s="4"/>
      <c r="JG249" s="4"/>
      <c r="JH249" s="4"/>
      <c r="JI249" s="4"/>
      <c r="JJ249" s="4"/>
      <c r="JK249" s="4"/>
      <c r="JL249" s="4"/>
      <c r="JM249" s="4"/>
      <c r="JN249" s="4"/>
      <c r="JO249" s="4"/>
      <c r="JP249" s="4"/>
      <c r="JQ249" s="4"/>
      <c r="JR249" s="4"/>
      <c r="JS249" s="4"/>
      <c r="JT249" s="4"/>
      <c r="JU249" s="4"/>
      <c r="JV249" s="4"/>
      <c r="JW249" s="4"/>
      <c r="JX249" s="4"/>
      <c r="JY249" s="4"/>
      <c r="JZ249" s="4"/>
      <c r="KA249" s="4"/>
      <c r="KB249" s="4"/>
      <c r="KC249" s="4"/>
      <c r="KD249" s="4"/>
      <c r="KE249" s="4"/>
      <c r="KF249" s="4"/>
      <c r="KG249" s="4"/>
      <c r="KH249" s="4"/>
      <c r="KI249" s="4"/>
      <c r="KJ249" s="4"/>
      <c r="KK249" s="4"/>
      <c r="KL249" s="4"/>
      <c r="KM249" s="4"/>
      <c r="KN249" s="4"/>
      <c r="KO249" s="4"/>
      <c r="KP249" s="4"/>
      <c r="KQ249" s="4"/>
      <c r="KR249" s="4"/>
      <c r="KS249" s="4"/>
      <c r="KT249" s="4"/>
      <c r="KU249" s="4"/>
      <c r="KV249" s="4"/>
      <c r="KW249" s="4"/>
      <c r="KX249" s="4"/>
      <c r="KY249" s="4"/>
      <c r="KZ249" s="4"/>
      <c r="LA249" s="4"/>
      <c r="LB249" s="4"/>
      <c r="LC249" s="4"/>
      <c r="LD249" s="4"/>
      <c r="LE249" s="4"/>
      <c r="LF249" s="4"/>
      <c r="LG249" s="4"/>
      <c r="LH249" s="4"/>
      <c r="LI249" s="4"/>
      <c r="LJ249" s="4"/>
      <c r="LK249" s="4"/>
      <c r="LL249" s="4"/>
      <c r="LM249" s="4"/>
      <c r="LN249" s="4"/>
      <c r="LO249" s="4"/>
      <c r="LP249" s="4"/>
      <c r="LQ249" s="4"/>
      <c r="LR249" s="4"/>
      <c r="LS249" s="4"/>
      <c r="LT249" s="4"/>
      <c r="LU249" s="4"/>
      <c r="LV249" s="4"/>
      <c r="LW249" s="4"/>
      <c r="LX249" s="4"/>
      <c r="LY249" s="4"/>
      <c r="LZ249" s="4"/>
      <c r="MA249" s="4"/>
      <c r="MB249" s="4"/>
      <c r="MC249" s="4"/>
      <c r="MD249" s="4"/>
      <c r="ME249" s="4"/>
      <c r="MF249" s="4"/>
      <c r="MG249" s="4"/>
      <c r="MH249" s="4"/>
      <c r="MI249" s="4"/>
      <c r="MJ249" s="4"/>
      <c r="MK249" s="4"/>
      <c r="ML249" s="4"/>
      <c r="MM249" s="4"/>
      <c r="MN249" s="4"/>
      <c r="MO249" s="4"/>
      <c r="MP249" s="4"/>
      <c r="MQ249" s="4"/>
      <c r="MR249" s="4"/>
      <c r="MS249" s="4"/>
      <c r="MT249" s="4"/>
      <c r="MU249" s="4"/>
      <c r="MV249" s="4"/>
      <c r="MW249" s="4"/>
      <c r="MX249" s="4"/>
      <c r="MY249" s="4"/>
      <c r="MZ249" s="4"/>
      <c r="NA249" s="4"/>
      <c r="NB249" s="4"/>
      <c r="NC249" s="4"/>
      <c r="ND249" s="4"/>
      <c r="NE249" s="4"/>
      <c r="NF249" s="4"/>
      <c r="NG249" s="4"/>
      <c r="NH249" s="4"/>
      <c r="NI249" s="4"/>
      <c r="NJ249" s="4"/>
      <c r="NK249" s="4"/>
      <c r="NL249" s="4"/>
      <c r="NM249" s="4"/>
      <c r="NN249" s="4"/>
      <c r="NO249" s="4"/>
      <c r="NP249" s="4"/>
      <c r="NQ249" s="4"/>
      <c r="NR249" s="4"/>
      <c r="NS249" s="4"/>
      <c r="NT249" s="4"/>
      <c r="NU249" s="4"/>
      <c r="NV249" s="4"/>
      <c r="NW249" s="4"/>
      <c r="NX249" s="4"/>
      <c r="NY249" s="4"/>
      <c r="NZ249" s="4"/>
      <c r="OA249" s="4"/>
      <c r="OB249" s="4"/>
      <c r="OC249" s="4"/>
      <c r="OD249" s="4"/>
      <c r="OE249" s="4"/>
      <c r="OF249" s="4"/>
      <c r="OG249" s="4"/>
      <c r="OH249" s="4"/>
      <c r="OI249" s="4"/>
      <c r="OJ249" s="4"/>
      <c r="OK249" s="4"/>
      <c r="OL249" s="4"/>
      <c r="OM249" s="4"/>
      <c r="ON249" s="4"/>
      <c r="OO249" s="4"/>
      <c r="OP249" s="4"/>
      <c r="OQ249" s="4"/>
      <c r="OR249" s="4"/>
      <c r="OS249" s="4"/>
      <c r="OT249" s="4"/>
      <c r="OU249" s="4"/>
      <c r="OV249" s="4"/>
      <c r="OW249" s="4"/>
      <c r="OX249" s="4"/>
      <c r="OY249" s="4"/>
      <c r="OZ249" s="4"/>
      <c r="PA249" s="4"/>
      <c r="PB249" s="4"/>
      <c r="PC249" s="4"/>
      <c r="PD249" s="4"/>
      <c r="PE249" s="4"/>
      <c r="PF249" s="4"/>
      <c r="PG249" s="4"/>
      <c r="PH249" s="4"/>
      <c r="PI249" s="4"/>
      <c r="PJ249" s="4"/>
      <c r="PK249" s="4"/>
      <c r="PL249" s="4"/>
      <c r="PM249" s="4"/>
      <c r="PN249" s="4"/>
      <c r="PO249" s="4"/>
      <c r="PP249" s="4"/>
      <c r="PQ249" s="4"/>
      <c r="PR249" s="4"/>
      <c r="PS249" s="4"/>
      <c r="PT249" s="4"/>
      <c r="PU249" s="4"/>
      <c r="PV249" s="4"/>
      <c r="PW249" s="4"/>
      <c r="PX249" s="4"/>
      <c r="PY249" s="4"/>
      <c r="PZ249" s="4"/>
      <c r="QA249" s="4"/>
      <c r="QB249" s="4"/>
      <c r="QC249" s="4"/>
      <c r="QD249" s="4"/>
      <c r="QE249" s="4"/>
      <c r="QF249" s="4"/>
      <c r="QG249" s="4"/>
      <c r="QH249" s="4"/>
      <c r="QI249" s="4"/>
      <c r="QJ249" s="4"/>
      <c r="QK249" s="4"/>
      <c r="QL249" s="4"/>
      <c r="QM249" s="4"/>
      <c r="QN249" s="4"/>
      <c r="QO249" s="4"/>
      <c r="QP249" s="4"/>
      <c r="QQ249" s="4"/>
      <c r="QR249" s="4"/>
      <c r="QS249" s="4"/>
      <c r="QT249" s="4"/>
      <c r="QU249" s="4"/>
      <c r="QV249" s="4"/>
      <c r="QW249" s="4"/>
      <c r="QX249" s="4"/>
      <c r="QY249" s="4"/>
      <c r="QZ249" s="4"/>
      <c r="RA249" s="4"/>
      <c r="RB249" s="4"/>
      <c r="RC249" s="4"/>
      <c r="RD249" s="4"/>
      <c r="RE249" s="4"/>
      <c r="RF249" s="4"/>
      <c r="RG249" s="4"/>
      <c r="RH249" s="4"/>
      <c r="RI249" s="4"/>
      <c r="RJ249" s="4"/>
      <c r="RK249" s="4"/>
      <c r="RL249" s="4"/>
      <c r="RM249" s="4"/>
      <c r="RN249" s="4"/>
      <c r="RO249" s="4"/>
      <c r="RP249" s="4"/>
      <c r="RQ249" s="4"/>
      <c r="RR249" s="4"/>
      <c r="RS249" s="4"/>
      <c r="RT249" s="4"/>
      <c r="RU249" s="4"/>
      <c r="RV249" s="4"/>
      <c r="RW249" s="4"/>
      <c r="RX249" s="4"/>
      <c r="RY249" s="4"/>
      <c r="RZ249" s="4"/>
      <c r="SA249" s="4"/>
      <c r="SB249" s="4"/>
      <c r="SC249" s="4"/>
      <c r="SD249" s="4"/>
      <c r="SE249" s="4"/>
      <c r="SF249" s="4"/>
      <c r="SG249" s="4"/>
      <c r="SH249" s="4"/>
      <c r="SI249" s="4"/>
      <c r="SJ249" s="4"/>
      <c r="SK249" s="4"/>
      <c r="SL249" s="4"/>
      <c r="SM249" s="4"/>
      <c r="SN249" s="4"/>
      <c r="SO249" s="4"/>
      <c r="SP249" s="4"/>
      <c r="SQ249" s="4"/>
      <c r="SR249" s="4"/>
      <c r="SS249" s="4"/>
      <c r="ST249" s="4"/>
      <c r="SU249" s="4"/>
      <c r="SV249" s="4"/>
      <c r="SW249" s="4"/>
      <c r="SX249" s="4"/>
      <c r="SY249" s="4"/>
      <c r="SZ249" s="4"/>
      <c r="TA249" s="4"/>
      <c r="TB249" s="4"/>
      <c r="TC249" s="4"/>
      <c r="TD249" s="4"/>
      <c r="TE249" s="4"/>
      <c r="TF249" s="4"/>
      <c r="TG249" s="4"/>
      <c r="TH249" s="4"/>
      <c r="TI249" s="4"/>
      <c r="TJ249" s="4"/>
      <c r="TK249" s="4"/>
      <c r="TL249" s="4"/>
      <c r="TM249" s="4"/>
      <c r="TN249" s="4"/>
      <c r="TO249" s="4"/>
      <c r="TP249" s="4"/>
      <c r="TQ249" s="4"/>
      <c r="TR249" s="4"/>
      <c r="TS249" s="4"/>
      <c r="TT249" s="4"/>
      <c r="TU249" s="4"/>
      <c r="TV249" s="4"/>
      <c r="TW249" s="4"/>
      <c r="TX249" s="4"/>
      <c r="TY249" s="4"/>
      <c r="TZ249" s="4"/>
      <c r="UA249" s="4"/>
      <c r="UB249" s="4"/>
      <c r="UC249" s="4"/>
      <c r="UD249" s="4"/>
      <c r="UE249" s="4"/>
      <c r="UF249" s="4"/>
      <c r="UG249" s="4"/>
      <c r="UH249" s="4"/>
      <c r="UI249" s="4"/>
      <c r="UJ249" s="4"/>
      <c r="UK249" s="4"/>
      <c r="UL249" s="4"/>
      <c r="UM249" s="4"/>
      <c r="UN249" s="4"/>
      <c r="UO249" s="4"/>
      <c r="UP249" s="4"/>
      <c r="UQ249" s="4"/>
      <c r="UR249" s="4"/>
      <c r="US249" s="4"/>
      <c r="UT249" s="4"/>
      <c r="UU249" s="4"/>
      <c r="UV249" s="4"/>
      <c r="UW249" s="4"/>
      <c r="UX249" s="4"/>
      <c r="UY249" s="4"/>
      <c r="UZ249" s="4"/>
      <c r="VA249" s="4"/>
      <c r="VB249" s="4"/>
      <c r="VC249" s="4"/>
      <c r="VD249" s="4"/>
      <c r="VE249" s="4"/>
      <c r="VF249" s="4"/>
      <c r="VG249" s="4"/>
      <c r="VH249" s="4"/>
      <c r="VI249" s="4"/>
      <c r="VJ249" s="4"/>
      <c r="VK249" s="4"/>
      <c r="VL249" s="4"/>
      <c r="VM249" s="4"/>
      <c r="VN249" s="4"/>
      <c r="VO249" s="4"/>
      <c r="VP249" s="4"/>
      <c r="VQ249" s="4"/>
      <c r="VR249" s="4"/>
      <c r="VS249" s="4"/>
      <c r="VT249" s="4"/>
      <c r="VU249" s="4"/>
      <c r="VV249" s="4"/>
      <c r="VW249" s="4"/>
      <c r="VX249" s="4"/>
      <c r="VY249" s="4"/>
      <c r="VZ249" s="4"/>
      <c r="WA249" s="4"/>
      <c r="WB249" s="4"/>
      <c r="WC249" s="4"/>
      <c r="WD249" s="4"/>
      <c r="WE249" s="4"/>
      <c r="WF249" s="4"/>
      <c r="WG249" s="4"/>
      <c r="WH249" s="4"/>
      <c r="WI249" s="4"/>
      <c r="WJ249" s="4"/>
      <c r="WK249" s="4"/>
      <c r="WL249" s="4"/>
      <c r="WM249" s="4"/>
      <c r="WN249" s="4"/>
      <c r="WO249" s="4"/>
      <c r="WP249" s="4"/>
      <c r="WQ249" s="4"/>
      <c r="WR249" s="4"/>
      <c r="WS249" s="4"/>
      <c r="WT249" s="4"/>
      <c r="WU249" s="4"/>
      <c r="WV249" s="4"/>
      <c r="WW249" s="4"/>
      <c r="WX249" s="4"/>
      <c r="WY249" s="4"/>
      <c r="WZ249" s="4"/>
      <c r="XA249" s="4"/>
      <c r="XB249" s="4"/>
      <c r="XC249" s="4"/>
      <c r="XD249" s="4"/>
      <c r="XE249" s="4"/>
      <c r="XF249" s="4"/>
      <c r="XG249" s="4"/>
      <c r="XH249" s="4"/>
      <c r="XI249" s="4"/>
      <c r="XJ249" s="4"/>
      <c r="XK249" s="4"/>
      <c r="XL249" s="4"/>
      <c r="XM249" s="4"/>
      <c r="XN249" s="4"/>
      <c r="XO249" s="4"/>
      <c r="XP249" s="4"/>
      <c r="XQ249" s="4"/>
      <c r="XR249" s="4"/>
      <c r="XS249" s="4"/>
      <c r="XT249" s="4"/>
      <c r="XU249" s="4"/>
      <c r="XV249" s="4"/>
      <c r="XW249" s="4"/>
      <c r="XX249" s="4"/>
      <c r="XY249" s="4"/>
      <c r="XZ249" s="4"/>
      <c r="YA249" s="4"/>
      <c r="YB249" s="4"/>
      <c r="YC249" s="4"/>
      <c r="YD249" s="4"/>
      <c r="YE249" s="4"/>
      <c r="YF249" s="4"/>
      <c r="YG249" s="4"/>
      <c r="YH249" s="4"/>
      <c r="YI249" s="4"/>
      <c r="YJ249" s="4"/>
      <c r="YK249" s="4"/>
      <c r="YL249" s="4"/>
      <c r="YM249" s="4"/>
      <c r="YN249" s="4"/>
      <c r="YO249" s="4"/>
      <c r="YP249" s="4"/>
      <c r="YQ249" s="4"/>
      <c r="YR249" s="4"/>
      <c r="YS249" s="4"/>
      <c r="YT249" s="4"/>
      <c r="YU249" s="4"/>
      <c r="YV249" s="4"/>
      <c r="YW249" s="4"/>
      <c r="YX249" s="4"/>
      <c r="YY249" s="4"/>
      <c r="YZ249" s="4"/>
      <c r="ZA249" s="4"/>
      <c r="ZB249" s="4"/>
      <c r="ZC249" s="4"/>
      <c r="ZD249" s="4"/>
      <c r="ZE249" s="4"/>
      <c r="ZF249" s="4"/>
      <c r="ZG249" s="4"/>
      <c r="ZH249" s="4"/>
      <c r="ZI249" s="4"/>
      <c r="ZJ249" s="4"/>
      <c r="ZK249" s="4"/>
      <c r="ZL249" s="4"/>
      <c r="ZM249" s="4"/>
      <c r="ZN249" s="4"/>
      <c r="ZO249" s="4"/>
      <c r="ZP249" s="4"/>
      <c r="ZQ249" s="4"/>
      <c r="ZR249" s="4"/>
      <c r="ZS249" s="4"/>
      <c r="ZT249" s="4"/>
      <c r="ZU249" s="4"/>
      <c r="ZV249" s="4"/>
      <c r="ZW249" s="4"/>
      <c r="ZX249" s="4"/>
      <c r="ZY249" s="4"/>
      <c r="ZZ249" s="4"/>
      <c r="AAA249" s="4"/>
      <c r="AAB249" s="4"/>
      <c r="AAC249" s="4"/>
      <c r="AAD249" s="4"/>
    </row>
    <row r="250" spans="1:706" ht="37.5" customHeight="1" x14ac:dyDescent="0.15">
      <c r="A250" s="4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  <c r="DI250" s="13"/>
      <c r="DJ250" s="13"/>
      <c r="DK250" s="13"/>
      <c r="DL250" s="13"/>
      <c r="DM250" s="13"/>
      <c r="DN250" s="13"/>
      <c r="DO250" s="13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  <c r="HI250" s="4"/>
      <c r="HJ250" s="4"/>
      <c r="HK250" s="4"/>
      <c r="HL250" s="4"/>
      <c r="HM250" s="4"/>
      <c r="HN250" s="4"/>
      <c r="HO250" s="4"/>
      <c r="HP250" s="4"/>
      <c r="HQ250" s="4"/>
      <c r="HR250" s="4"/>
      <c r="HS250" s="4"/>
      <c r="HT250" s="4"/>
      <c r="HU250" s="4"/>
      <c r="HV250" s="4"/>
      <c r="HW250" s="4"/>
      <c r="HX250" s="4"/>
      <c r="HY250" s="4"/>
      <c r="HZ250" s="4"/>
      <c r="IA250" s="4"/>
      <c r="IB250" s="4"/>
      <c r="IC250" s="4"/>
      <c r="ID250" s="4"/>
      <c r="IE250" s="4"/>
      <c r="IF250" s="4"/>
      <c r="IG250" s="4"/>
      <c r="IH250" s="4"/>
      <c r="II250" s="4"/>
      <c r="IJ250" s="4"/>
      <c r="IK250" s="4"/>
      <c r="IL250" s="4"/>
      <c r="IM250" s="4"/>
      <c r="IN250" s="4"/>
      <c r="IO250" s="4"/>
      <c r="IP250" s="4"/>
      <c r="IQ250" s="4"/>
      <c r="IR250" s="4"/>
      <c r="IS250" s="4"/>
      <c r="IT250" s="4"/>
      <c r="IU250" s="4"/>
      <c r="IV250" s="4"/>
      <c r="IW250" s="4"/>
      <c r="IX250" s="4"/>
      <c r="IY250" s="4"/>
      <c r="IZ250" s="4"/>
      <c r="JA250" s="4"/>
      <c r="JB250" s="4"/>
      <c r="JC250" s="4"/>
      <c r="JD250" s="4"/>
      <c r="JE250" s="4"/>
      <c r="JF250" s="4"/>
      <c r="JG250" s="4"/>
      <c r="JH250" s="4"/>
      <c r="JI250" s="4"/>
      <c r="JJ250" s="4"/>
      <c r="JK250" s="4"/>
      <c r="JL250" s="4"/>
      <c r="JM250" s="4"/>
      <c r="JN250" s="4"/>
      <c r="JO250" s="4"/>
      <c r="JP250" s="4"/>
      <c r="JQ250" s="4"/>
      <c r="JR250" s="4"/>
      <c r="JS250" s="4"/>
      <c r="JT250" s="4"/>
      <c r="JU250" s="4"/>
      <c r="JV250" s="4"/>
      <c r="JW250" s="4"/>
      <c r="JX250" s="4"/>
      <c r="JY250" s="4"/>
      <c r="JZ250" s="4"/>
      <c r="KA250" s="4"/>
      <c r="KB250" s="4"/>
      <c r="KC250" s="4"/>
      <c r="KD250" s="4"/>
      <c r="KE250" s="4"/>
      <c r="KF250" s="4"/>
      <c r="KG250" s="4"/>
      <c r="KH250" s="4"/>
      <c r="KI250" s="4"/>
      <c r="KJ250" s="4"/>
      <c r="KK250" s="4"/>
      <c r="KL250" s="4"/>
      <c r="KM250" s="4"/>
      <c r="KN250" s="4"/>
      <c r="KO250" s="4"/>
      <c r="KP250" s="4"/>
      <c r="KQ250" s="4"/>
      <c r="KR250" s="4"/>
      <c r="KS250" s="4"/>
      <c r="KT250" s="4"/>
      <c r="KU250" s="4"/>
      <c r="KV250" s="4"/>
      <c r="KW250" s="4"/>
      <c r="KX250" s="4"/>
      <c r="KY250" s="4"/>
      <c r="KZ250" s="4"/>
      <c r="LA250" s="4"/>
      <c r="LB250" s="4"/>
      <c r="LC250" s="4"/>
      <c r="LD250" s="4"/>
      <c r="LE250" s="4"/>
      <c r="LF250" s="4"/>
      <c r="LG250" s="4"/>
      <c r="LH250" s="4"/>
      <c r="LI250" s="4"/>
      <c r="LJ250" s="4"/>
      <c r="LK250" s="4"/>
      <c r="LL250" s="4"/>
      <c r="LM250" s="4"/>
      <c r="LN250" s="4"/>
      <c r="LO250" s="4"/>
      <c r="LP250" s="4"/>
      <c r="LQ250" s="4"/>
      <c r="LR250" s="4"/>
      <c r="LS250" s="4"/>
      <c r="LT250" s="4"/>
      <c r="LU250" s="4"/>
      <c r="LV250" s="4"/>
      <c r="LW250" s="4"/>
      <c r="LX250" s="4"/>
      <c r="LY250" s="4"/>
      <c r="LZ250" s="4"/>
      <c r="MA250" s="4"/>
      <c r="MB250" s="4"/>
      <c r="MC250" s="4"/>
      <c r="MD250" s="4"/>
      <c r="ME250" s="4"/>
      <c r="MF250" s="4"/>
      <c r="MG250" s="4"/>
      <c r="MH250" s="4"/>
      <c r="MI250" s="4"/>
      <c r="MJ250" s="4"/>
      <c r="MK250" s="4"/>
      <c r="ML250" s="4"/>
      <c r="MM250" s="4"/>
      <c r="MN250" s="4"/>
      <c r="MO250" s="4"/>
      <c r="MP250" s="4"/>
      <c r="MQ250" s="4"/>
      <c r="MR250" s="4"/>
      <c r="MS250" s="4"/>
      <c r="MT250" s="4"/>
      <c r="MU250" s="4"/>
      <c r="MV250" s="4"/>
      <c r="MW250" s="4"/>
      <c r="MX250" s="4"/>
      <c r="MY250" s="4"/>
      <c r="MZ250" s="4"/>
      <c r="NA250" s="4"/>
      <c r="NB250" s="4"/>
      <c r="NC250" s="4"/>
      <c r="ND250" s="4"/>
      <c r="NE250" s="4"/>
      <c r="NF250" s="4"/>
      <c r="NG250" s="4"/>
      <c r="NH250" s="4"/>
      <c r="NI250" s="4"/>
      <c r="NJ250" s="4"/>
      <c r="NK250" s="4"/>
      <c r="NL250" s="4"/>
      <c r="NM250" s="4"/>
      <c r="NN250" s="4"/>
      <c r="NO250" s="4"/>
      <c r="NP250" s="4"/>
      <c r="NQ250" s="4"/>
      <c r="NR250" s="4"/>
      <c r="NS250" s="4"/>
      <c r="NT250" s="4"/>
      <c r="NU250" s="4"/>
      <c r="NV250" s="4"/>
      <c r="NW250" s="4"/>
      <c r="NX250" s="4"/>
      <c r="NY250" s="4"/>
      <c r="NZ250" s="4"/>
      <c r="OA250" s="4"/>
      <c r="OB250" s="4"/>
      <c r="OC250" s="4"/>
      <c r="OD250" s="4"/>
      <c r="OE250" s="4"/>
      <c r="OF250" s="4"/>
      <c r="OG250" s="4"/>
      <c r="OH250" s="4"/>
      <c r="OI250" s="4"/>
      <c r="OJ250" s="4"/>
      <c r="OK250" s="4"/>
      <c r="OL250" s="4"/>
      <c r="OM250" s="4"/>
      <c r="ON250" s="4"/>
      <c r="OO250" s="4"/>
      <c r="OP250" s="4"/>
      <c r="OQ250" s="4"/>
      <c r="OR250" s="4"/>
      <c r="OS250" s="4"/>
      <c r="OT250" s="4"/>
      <c r="OU250" s="4"/>
      <c r="OV250" s="4"/>
      <c r="OW250" s="4"/>
      <c r="OX250" s="4"/>
      <c r="OY250" s="4"/>
      <c r="OZ250" s="4"/>
      <c r="PA250" s="4"/>
      <c r="PB250" s="4"/>
      <c r="PC250" s="4"/>
      <c r="PD250" s="4"/>
      <c r="PE250" s="4"/>
      <c r="PF250" s="4"/>
      <c r="PG250" s="4"/>
      <c r="PH250" s="4"/>
      <c r="PI250" s="4"/>
      <c r="PJ250" s="4"/>
      <c r="PK250" s="4"/>
      <c r="PL250" s="4"/>
      <c r="PM250" s="4"/>
      <c r="PN250" s="4"/>
      <c r="PO250" s="4"/>
      <c r="PP250" s="4"/>
      <c r="PQ250" s="4"/>
      <c r="PR250" s="4"/>
      <c r="PS250" s="4"/>
      <c r="PT250" s="4"/>
      <c r="PU250" s="4"/>
      <c r="PV250" s="4"/>
      <c r="PW250" s="4"/>
      <c r="PX250" s="4"/>
      <c r="PY250" s="4"/>
      <c r="PZ250" s="4"/>
      <c r="QA250" s="4"/>
      <c r="QB250" s="4"/>
      <c r="QC250" s="4"/>
      <c r="QD250" s="4"/>
      <c r="QE250" s="4"/>
      <c r="QF250" s="4"/>
      <c r="QG250" s="4"/>
      <c r="QH250" s="4"/>
      <c r="QI250" s="4"/>
      <c r="QJ250" s="4"/>
      <c r="QK250" s="4"/>
      <c r="QL250" s="4"/>
      <c r="QM250" s="4"/>
      <c r="QN250" s="4"/>
      <c r="QO250" s="4"/>
      <c r="QP250" s="4"/>
      <c r="QQ250" s="4"/>
      <c r="QR250" s="4"/>
      <c r="QS250" s="4"/>
      <c r="QT250" s="4"/>
      <c r="QU250" s="4"/>
      <c r="QV250" s="4"/>
      <c r="QW250" s="4"/>
      <c r="QX250" s="4"/>
      <c r="QY250" s="4"/>
      <c r="QZ250" s="4"/>
      <c r="RA250" s="4"/>
      <c r="RB250" s="4"/>
      <c r="RC250" s="4"/>
      <c r="RD250" s="4"/>
      <c r="RE250" s="4"/>
      <c r="RF250" s="4"/>
      <c r="RG250" s="4"/>
      <c r="RH250" s="4"/>
      <c r="RI250" s="4"/>
      <c r="RJ250" s="4"/>
      <c r="RK250" s="4"/>
      <c r="RL250" s="4"/>
      <c r="RM250" s="4"/>
      <c r="RN250" s="4"/>
      <c r="RO250" s="4"/>
      <c r="RP250" s="4"/>
      <c r="RQ250" s="4"/>
      <c r="RR250" s="4"/>
      <c r="RS250" s="4"/>
      <c r="RT250" s="4"/>
      <c r="RU250" s="4"/>
      <c r="RV250" s="4"/>
      <c r="RW250" s="4"/>
      <c r="RX250" s="4"/>
      <c r="RY250" s="4"/>
      <c r="RZ250" s="4"/>
      <c r="SA250" s="4"/>
      <c r="SB250" s="4"/>
      <c r="SC250" s="4"/>
      <c r="SD250" s="4"/>
      <c r="SE250" s="4"/>
      <c r="SF250" s="4"/>
      <c r="SG250" s="4"/>
      <c r="SH250" s="4"/>
      <c r="SI250" s="4"/>
      <c r="SJ250" s="4"/>
      <c r="SK250" s="4"/>
      <c r="SL250" s="4"/>
      <c r="SM250" s="4"/>
      <c r="SN250" s="4"/>
      <c r="SO250" s="4"/>
      <c r="SP250" s="4"/>
      <c r="SQ250" s="4"/>
      <c r="SR250" s="4"/>
      <c r="SS250" s="4"/>
      <c r="ST250" s="4"/>
      <c r="SU250" s="4"/>
      <c r="SV250" s="4"/>
      <c r="SW250" s="4"/>
      <c r="SX250" s="4"/>
      <c r="SY250" s="4"/>
      <c r="SZ250" s="4"/>
      <c r="TA250" s="4"/>
      <c r="TB250" s="4"/>
      <c r="TC250" s="4"/>
      <c r="TD250" s="4"/>
      <c r="TE250" s="4"/>
      <c r="TF250" s="4"/>
      <c r="TG250" s="4"/>
      <c r="TH250" s="4"/>
      <c r="TI250" s="4"/>
      <c r="TJ250" s="4"/>
      <c r="TK250" s="4"/>
      <c r="TL250" s="4"/>
      <c r="TM250" s="4"/>
      <c r="TN250" s="4"/>
      <c r="TO250" s="4"/>
      <c r="TP250" s="4"/>
      <c r="TQ250" s="4"/>
      <c r="TR250" s="4"/>
      <c r="TS250" s="4"/>
      <c r="TT250" s="4"/>
      <c r="TU250" s="4"/>
      <c r="TV250" s="4"/>
      <c r="TW250" s="4"/>
      <c r="TX250" s="4"/>
      <c r="TY250" s="4"/>
      <c r="TZ250" s="4"/>
      <c r="UA250" s="4"/>
      <c r="UB250" s="4"/>
      <c r="UC250" s="4"/>
      <c r="UD250" s="4"/>
      <c r="UE250" s="4"/>
      <c r="UF250" s="4"/>
      <c r="UG250" s="4"/>
      <c r="UH250" s="4"/>
      <c r="UI250" s="4"/>
      <c r="UJ250" s="4"/>
      <c r="UK250" s="4"/>
      <c r="UL250" s="4"/>
      <c r="UM250" s="4"/>
      <c r="UN250" s="4"/>
      <c r="UO250" s="4"/>
      <c r="UP250" s="4"/>
      <c r="UQ250" s="4"/>
      <c r="UR250" s="4"/>
      <c r="US250" s="4"/>
      <c r="UT250" s="4"/>
      <c r="UU250" s="4"/>
      <c r="UV250" s="4"/>
      <c r="UW250" s="4"/>
      <c r="UX250" s="4"/>
      <c r="UY250" s="4"/>
      <c r="UZ250" s="4"/>
      <c r="VA250" s="4"/>
      <c r="VB250" s="4"/>
      <c r="VC250" s="4"/>
      <c r="VD250" s="4"/>
      <c r="VE250" s="4"/>
      <c r="VF250" s="4"/>
      <c r="VG250" s="4"/>
      <c r="VH250" s="4"/>
      <c r="VI250" s="4"/>
      <c r="VJ250" s="4"/>
      <c r="VK250" s="4"/>
      <c r="VL250" s="4"/>
      <c r="VM250" s="4"/>
      <c r="VN250" s="4"/>
      <c r="VO250" s="4"/>
      <c r="VP250" s="4"/>
      <c r="VQ250" s="4"/>
      <c r="VR250" s="4"/>
      <c r="VS250" s="4"/>
      <c r="VT250" s="4"/>
      <c r="VU250" s="4"/>
      <c r="VV250" s="4"/>
      <c r="VW250" s="4"/>
      <c r="VX250" s="4"/>
      <c r="VY250" s="4"/>
      <c r="VZ250" s="4"/>
      <c r="WA250" s="4"/>
      <c r="WB250" s="4"/>
      <c r="WC250" s="4"/>
      <c r="WD250" s="4"/>
      <c r="WE250" s="4"/>
      <c r="WF250" s="4"/>
      <c r="WG250" s="4"/>
      <c r="WH250" s="4"/>
      <c r="WI250" s="4"/>
      <c r="WJ250" s="4"/>
      <c r="WK250" s="4"/>
      <c r="WL250" s="4"/>
      <c r="WM250" s="4"/>
      <c r="WN250" s="4"/>
      <c r="WO250" s="4"/>
      <c r="WP250" s="4"/>
      <c r="WQ250" s="4"/>
      <c r="WR250" s="4"/>
      <c r="WS250" s="4"/>
      <c r="WT250" s="4"/>
      <c r="WU250" s="4"/>
      <c r="WV250" s="4"/>
      <c r="WW250" s="4"/>
      <c r="WX250" s="4"/>
      <c r="WY250" s="4"/>
      <c r="WZ250" s="4"/>
      <c r="XA250" s="4"/>
      <c r="XB250" s="4"/>
      <c r="XC250" s="4"/>
      <c r="XD250" s="4"/>
      <c r="XE250" s="4"/>
      <c r="XF250" s="4"/>
      <c r="XG250" s="4"/>
      <c r="XH250" s="4"/>
      <c r="XI250" s="4"/>
      <c r="XJ250" s="4"/>
      <c r="XK250" s="4"/>
      <c r="XL250" s="4"/>
      <c r="XM250" s="4"/>
      <c r="XN250" s="4"/>
      <c r="XO250" s="4"/>
      <c r="XP250" s="4"/>
      <c r="XQ250" s="4"/>
      <c r="XR250" s="4"/>
      <c r="XS250" s="4"/>
      <c r="XT250" s="4"/>
      <c r="XU250" s="4"/>
      <c r="XV250" s="4"/>
      <c r="XW250" s="4"/>
      <c r="XX250" s="4"/>
      <c r="XY250" s="4"/>
      <c r="XZ250" s="4"/>
      <c r="YA250" s="4"/>
      <c r="YB250" s="4"/>
      <c r="YC250" s="4"/>
      <c r="YD250" s="4"/>
      <c r="YE250" s="4"/>
      <c r="YF250" s="4"/>
      <c r="YG250" s="4"/>
      <c r="YH250" s="4"/>
      <c r="YI250" s="4"/>
      <c r="YJ250" s="4"/>
      <c r="YK250" s="4"/>
      <c r="YL250" s="4"/>
      <c r="YM250" s="4"/>
      <c r="YN250" s="4"/>
      <c r="YO250" s="4"/>
      <c r="YP250" s="4"/>
      <c r="YQ250" s="4"/>
      <c r="YR250" s="4"/>
      <c r="YS250" s="4"/>
      <c r="YT250" s="4"/>
      <c r="YU250" s="4"/>
      <c r="YV250" s="4"/>
      <c r="YW250" s="4"/>
      <c r="YX250" s="4"/>
      <c r="YY250" s="4"/>
      <c r="YZ250" s="4"/>
      <c r="ZA250" s="4"/>
      <c r="ZB250" s="4"/>
      <c r="ZC250" s="4"/>
      <c r="ZD250" s="4"/>
      <c r="ZE250" s="4"/>
      <c r="ZF250" s="4"/>
      <c r="ZG250" s="4"/>
      <c r="ZH250" s="4"/>
      <c r="ZI250" s="4"/>
      <c r="ZJ250" s="4"/>
      <c r="ZK250" s="4"/>
      <c r="ZL250" s="4"/>
      <c r="ZM250" s="4"/>
      <c r="ZN250" s="4"/>
      <c r="ZO250" s="4"/>
      <c r="ZP250" s="4"/>
      <c r="ZQ250" s="4"/>
      <c r="ZR250" s="4"/>
      <c r="ZS250" s="4"/>
      <c r="ZT250" s="4"/>
      <c r="ZU250" s="4"/>
      <c r="ZV250" s="4"/>
      <c r="ZW250" s="4"/>
      <c r="ZX250" s="4"/>
      <c r="ZY250" s="4"/>
      <c r="ZZ250" s="4"/>
      <c r="AAA250" s="4"/>
      <c r="AAB250" s="4"/>
      <c r="AAC250" s="4"/>
      <c r="AAD250" s="4"/>
    </row>
    <row r="251" spans="1:706" ht="4.5" customHeight="1" x14ac:dyDescent="0.15">
      <c r="A251" s="4"/>
      <c r="B251" s="13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13"/>
      <c r="DO251" s="13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  <c r="HI251" s="4"/>
      <c r="HJ251" s="4"/>
      <c r="HK251" s="4"/>
      <c r="HL251" s="4"/>
      <c r="HM251" s="4"/>
      <c r="HN251" s="4"/>
      <c r="HO251" s="4"/>
      <c r="HP251" s="4"/>
      <c r="HQ251" s="4"/>
      <c r="HR251" s="4"/>
      <c r="HS251" s="4"/>
      <c r="HT251" s="4"/>
      <c r="HU251" s="4"/>
      <c r="HV251" s="4"/>
      <c r="HW251" s="4"/>
      <c r="HX251" s="4"/>
      <c r="HY251" s="4"/>
      <c r="HZ251" s="4"/>
      <c r="IA251" s="4"/>
      <c r="IB251" s="4"/>
      <c r="IC251" s="4"/>
      <c r="ID251" s="4"/>
      <c r="IE251" s="4"/>
      <c r="IF251" s="4"/>
      <c r="IG251" s="4"/>
      <c r="IH251" s="4"/>
      <c r="II251" s="4"/>
      <c r="IJ251" s="4"/>
      <c r="IK251" s="4"/>
      <c r="IL251" s="4"/>
      <c r="IM251" s="4"/>
      <c r="IN251" s="4"/>
      <c r="IO251" s="4"/>
      <c r="IP251" s="4"/>
      <c r="IQ251" s="4"/>
      <c r="IR251" s="4"/>
      <c r="IS251" s="4"/>
      <c r="IT251" s="4"/>
      <c r="IU251" s="4"/>
      <c r="IV251" s="4"/>
      <c r="IW251" s="4"/>
      <c r="IX251" s="4"/>
      <c r="IY251" s="4"/>
      <c r="IZ251" s="4"/>
      <c r="JA251" s="4"/>
      <c r="JB251" s="4"/>
      <c r="JC251" s="4"/>
      <c r="JD251" s="4"/>
      <c r="JE251" s="4"/>
      <c r="JF251" s="4"/>
      <c r="JG251" s="4"/>
      <c r="JH251" s="4"/>
      <c r="JI251" s="4"/>
      <c r="JJ251" s="4"/>
      <c r="JK251" s="4"/>
      <c r="JL251" s="4"/>
      <c r="JM251" s="4"/>
      <c r="JN251" s="4"/>
      <c r="JO251" s="4"/>
      <c r="JP251" s="4"/>
      <c r="JQ251" s="4"/>
      <c r="JR251" s="4"/>
      <c r="JS251" s="4"/>
      <c r="JT251" s="4"/>
      <c r="JU251" s="4"/>
      <c r="JV251" s="4"/>
      <c r="JW251" s="4"/>
      <c r="JX251" s="4"/>
      <c r="JY251" s="4"/>
      <c r="JZ251" s="4"/>
      <c r="KA251" s="4"/>
      <c r="KB251" s="4"/>
      <c r="KC251" s="4"/>
      <c r="KD251" s="4"/>
      <c r="KE251" s="4"/>
      <c r="KF251" s="4"/>
      <c r="KG251" s="4"/>
      <c r="KH251" s="4"/>
      <c r="KI251" s="4"/>
      <c r="KJ251" s="4"/>
      <c r="KK251" s="4"/>
      <c r="KL251" s="4"/>
      <c r="KM251" s="4"/>
      <c r="KN251" s="4"/>
      <c r="KO251" s="4"/>
      <c r="KP251" s="4"/>
      <c r="KQ251" s="4"/>
      <c r="KR251" s="4"/>
      <c r="KS251" s="4"/>
      <c r="KT251" s="4"/>
      <c r="KU251" s="4"/>
      <c r="KV251" s="4"/>
      <c r="KW251" s="4"/>
      <c r="KX251" s="4"/>
      <c r="KY251" s="4"/>
      <c r="KZ251" s="4"/>
      <c r="LA251" s="4"/>
      <c r="LB251" s="4"/>
      <c r="LC251" s="4"/>
      <c r="LD251" s="4"/>
      <c r="LE251" s="4"/>
      <c r="LF251" s="4"/>
      <c r="LG251" s="4"/>
      <c r="LH251" s="4"/>
      <c r="LI251" s="4"/>
      <c r="LJ251" s="4"/>
      <c r="LK251" s="4"/>
      <c r="LL251" s="4"/>
      <c r="LM251" s="4"/>
      <c r="LN251" s="4"/>
      <c r="LO251" s="4"/>
      <c r="LP251" s="4"/>
      <c r="LQ251" s="4"/>
      <c r="LR251" s="4"/>
      <c r="LS251" s="4"/>
      <c r="LT251" s="4"/>
      <c r="LU251" s="4"/>
      <c r="LV251" s="4"/>
      <c r="LW251" s="4"/>
      <c r="LX251" s="4"/>
      <c r="LY251" s="4"/>
      <c r="LZ251" s="4"/>
      <c r="MA251" s="4"/>
      <c r="MB251" s="4"/>
      <c r="MC251" s="4"/>
      <c r="MD251" s="4"/>
      <c r="ME251" s="4"/>
      <c r="MF251" s="4"/>
      <c r="MG251" s="4"/>
      <c r="MH251" s="4"/>
      <c r="MI251" s="4"/>
      <c r="MJ251" s="4"/>
      <c r="MK251" s="4"/>
      <c r="ML251" s="4"/>
      <c r="MM251" s="4"/>
      <c r="MN251" s="4"/>
      <c r="MO251" s="4"/>
      <c r="MP251" s="4"/>
      <c r="MQ251" s="4"/>
      <c r="MR251" s="4"/>
      <c r="MS251" s="4"/>
      <c r="MT251" s="4"/>
      <c r="MU251" s="4"/>
      <c r="MV251" s="4"/>
      <c r="MW251" s="4"/>
      <c r="MX251" s="4"/>
      <c r="MY251" s="4"/>
      <c r="MZ251" s="4"/>
      <c r="NA251" s="4"/>
      <c r="NB251" s="4"/>
      <c r="NC251" s="4"/>
      <c r="ND251" s="4"/>
      <c r="NE251" s="4"/>
      <c r="NF251" s="4"/>
      <c r="NG251" s="4"/>
      <c r="NH251" s="4"/>
      <c r="NI251" s="4"/>
      <c r="NJ251" s="4"/>
      <c r="NK251" s="4"/>
      <c r="NL251" s="4"/>
      <c r="NM251" s="4"/>
      <c r="NN251" s="4"/>
      <c r="NO251" s="4"/>
      <c r="NP251" s="4"/>
      <c r="NQ251" s="4"/>
      <c r="NR251" s="4"/>
      <c r="NS251" s="4"/>
      <c r="NT251" s="4"/>
      <c r="NU251" s="4"/>
      <c r="NV251" s="4"/>
      <c r="NW251" s="4"/>
      <c r="NX251" s="4"/>
      <c r="NY251" s="4"/>
      <c r="NZ251" s="4"/>
      <c r="OA251" s="4"/>
      <c r="OB251" s="4"/>
      <c r="OC251" s="4"/>
      <c r="OD251" s="4"/>
      <c r="OE251" s="4"/>
      <c r="OF251" s="4"/>
      <c r="OG251" s="4"/>
      <c r="OH251" s="4"/>
      <c r="OI251" s="4"/>
      <c r="OJ251" s="4"/>
      <c r="OK251" s="4"/>
      <c r="OL251" s="4"/>
      <c r="OM251" s="4"/>
      <c r="ON251" s="4"/>
      <c r="OO251" s="4"/>
      <c r="OP251" s="4"/>
      <c r="OQ251" s="4"/>
      <c r="OR251" s="4"/>
      <c r="OS251" s="4"/>
      <c r="OT251" s="4"/>
      <c r="OU251" s="4"/>
      <c r="OV251" s="4"/>
      <c r="OW251" s="4"/>
      <c r="OX251" s="4"/>
      <c r="OY251" s="4"/>
      <c r="OZ251" s="4"/>
      <c r="PA251" s="4"/>
      <c r="PB251" s="4"/>
      <c r="PC251" s="4"/>
      <c r="PD251" s="4"/>
      <c r="PE251" s="4"/>
      <c r="PF251" s="4"/>
      <c r="PG251" s="4"/>
      <c r="PH251" s="4"/>
      <c r="PI251" s="4"/>
      <c r="PJ251" s="4"/>
      <c r="PK251" s="4"/>
      <c r="PL251" s="4"/>
      <c r="PM251" s="4"/>
      <c r="PN251" s="4"/>
      <c r="PO251" s="4"/>
      <c r="PP251" s="4"/>
      <c r="PQ251" s="4"/>
      <c r="PR251" s="4"/>
      <c r="PS251" s="4"/>
      <c r="PT251" s="4"/>
      <c r="PU251" s="4"/>
      <c r="PV251" s="4"/>
      <c r="PW251" s="4"/>
      <c r="PX251" s="4"/>
      <c r="PY251" s="4"/>
      <c r="PZ251" s="4"/>
      <c r="QA251" s="4"/>
      <c r="QB251" s="4"/>
      <c r="QC251" s="4"/>
      <c r="QD251" s="4"/>
      <c r="QE251" s="4"/>
      <c r="QF251" s="4"/>
      <c r="QG251" s="4"/>
      <c r="QH251" s="4"/>
      <c r="QI251" s="4"/>
      <c r="QJ251" s="4"/>
      <c r="QK251" s="4"/>
      <c r="QL251" s="4"/>
      <c r="QM251" s="4"/>
      <c r="QN251" s="4"/>
      <c r="QO251" s="4"/>
      <c r="QP251" s="4"/>
      <c r="QQ251" s="4"/>
      <c r="QR251" s="4"/>
      <c r="QS251" s="4"/>
      <c r="QT251" s="4"/>
      <c r="QU251" s="4"/>
      <c r="QV251" s="4"/>
      <c r="QW251" s="4"/>
      <c r="QX251" s="4"/>
      <c r="QY251" s="4"/>
      <c r="QZ251" s="4"/>
      <c r="RA251" s="4"/>
      <c r="RB251" s="4"/>
      <c r="RC251" s="4"/>
      <c r="RD251" s="4"/>
      <c r="RE251" s="4"/>
      <c r="RF251" s="4"/>
      <c r="RG251" s="4"/>
      <c r="RH251" s="4"/>
      <c r="RI251" s="4"/>
      <c r="RJ251" s="4"/>
      <c r="RK251" s="4"/>
      <c r="RL251" s="4"/>
      <c r="RM251" s="4"/>
      <c r="RN251" s="4"/>
      <c r="RO251" s="4"/>
      <c r="RP251" s="4"/>
      <c r="RQ251" s="4"/>
      <c r="RR251" s="4"/>
      <c r="RS251" s="4"/>
      <c r="RT251" s="4"/>
      <c r="RU251" s="4"/>
      <c r="RV251" s="4"/>
      <c r="RW251" s="4"/>
      <c r="RX251" s="4"/>
      <c r="RY251" s="4"/>
      <c r="RZ251" s="4"/>
      <c r="SA251" s="4"/>
      <c r="SB251" s="4"/>
      <c r="SC251" s="4"/>
      <c r="SD251" s="4"/>
      <c r="SE251" s="4"/>
      <c r="SF251" s="4"/>
      <c r="SG251" s="4"/>
      <c r="SH251" s="4"/>
      <c r="SI251" s="4"/>
      <c r="SJ251" s="4"/>
      <c r="SK251" s="4"/>
      <c r="SL251" s="4"/>
      <c r="SM251" s="4"/>
      <c r="SN251" s="4"/>
      <c r="SO251" s="4"/>
      <c r="SP251" s="4"/>
      <c r="SQ251" s="4"/>
      <c r="SR251" s="4"/>
      <c r="SS251" s="4"/>
      <c r="ST251" s="4"/>
      <c r="SU251" s="4"/>
      <c r="SV251" s="4"/>
      <c r="SW251" s="4"/>
      <c r="SX251" s="4"/>
      <c r="SY251" s="4"/>
      <c r="SZ251" s="4"/>
      <c r="TA251" s="4"/>
      <c r="TB251" s="4"/>
      <c r="TC251" s="4"/>
      <c r="TD251" s="4"/>
      <c r="TE251" s="4"/>
      <c r="TF251" s="4"/>
      <c r="TG251" s="4"/>
      <c r="TH251" s="4"/>
      <c r="TI251" s="4"/>
      <c r="TJ251" s="4"/>
      <c r="TK251" s="4"/>
      <c r="TL251" s="4"/>
      <c r="TM251" s="4"/>
      <c r="TN251" s="4"/>
      <c r="TO251" s="4"/>
      <c r="TP251" s="4"/>
      <c r="TQ251" s="4"/>
      <c r="TR251" s="4"/>
      <c r="TS251" s="4"/>
      <c r="TT251" s="4"/>
      <c r="TU251" s="4"/>
      <c r="TV251" s="4"/>
      <c r="TW251" s="4"/>
      <c r="TX251" s="4"/>
      <c r="TY251" s="4"/>
      <c r="TZ251" s="4"/>
      <c r="UA251" s="4"/>
      <c r="UB251" s="4"/>
      <c r="UC251" s="4"/>
      <c r="UD251" s="4"/>
      <c r="UE251" s="4"/>
      <c r="UF251" s="4"/>
      <c r="UG251" s="4"/>
      <c r="UH251" s="4"/>
      <c r="UI251" s="4"/>
      <c r="UJ251" s="4"/>
      <c r="UK251" s="4"/>
      <c r="UL251" s="4"/>
      <c r="UM251" s="4"/>
      <c r="UN251" s="4"/>
      <c r="UO251" s="4"/>
      <c r="UP251" s="4"/>
      <c r="UQ251" s="4"/>
      <c r="UR251" s="4"/>
      <c r="US251" s="4"/>
      <c r="UT251" s="4"/>
      <c r="UU251" s="4"/>
      <c r="UV251" s="4"/>
      <c r="UW251" s="4"/>
      <c r="UX251" s="4"/>
      <c r="UY251" s="4"/>
      <c r="UZ251" s="4"/>
      <c r="VA251" s="4"/>
      <c r="VB251" s="4"/>
      <c r="VC251" s="4"/>
      <c r="VD251" s="4"/>
      <c r="VE251" s="4"/>
      <c r="VF251" s="4"/>
      <c r="VG251" s="4"/>
      <c r="VH251" s="4"/>
      <c r="VI251" s="4"/>
      <c r="VJ251" s="4"/>
      <c r="VK251" s="4"/>
      <c r="VL251" s="4"/>
      <c r="VM251" s="4"/>
      <c r="VN251" s="4"/>
      <c r="VO251" s="4"/>
      <c r="VP251" s="4"/>
      <c r="VQ251" s="4"/>
      <c r="VR251" s="4"/>
      <c r="VS251" s="4"/>
      <c r="VT251" s="4"/>
      <c r="VU251" s="4"/>
      <c r="VV251" s="4"/>
      <c r="VW251" s="4"/>
      <c r="VX251" s="4"/>
      <c r="VY251" s="4"/>
      <c r="VZ251" s="4"/>
      <c r="WA251" s="4"/>
      <c r="WB251" s="4"/>
      <c r="WC251" s="4"/>
      <c r="WD251" s="4"/>
      <c r="WE251" s="4"/>
      <c r="WF251" s="4"/>
      <c r="WG251" s="4"/>
      <c r="WH251" s="4"/>
      <c r="WI251" s="4"/>
      <c r="WJ251" s="4"/>
      <c r="WK251" s="4"/>
      <c r="WL251" s="4"/>
      <c r="WM251" s="4"/>
      <c r="WN251" s="4"/>
      <c r="WO251" s="4"/>
      <c r="WP251" s="4"/>
      <c r="WQ251" s="4"/>
      <c r="WR251" s="4"/>
      <c r="WS251" s="4"/>
      <c r="WT251" s="4"/>
      <c r="WU251" s="4"/>
      <c r="WV251" s="4"/>
      <c r="WW251" s="4"/>
      <c r="WX251" s="4"/>
      <c r="WY251" s="4"/>
      <c r="WZ251" s="4"/>
      <c r="XA251" s="4"/>
      <c r="XB251" s="4"/>
      <c r="XC251" s="4"/>
      <c r="XD251" s="4"/>
      <c r="XE251" s="4"/>
      <c r="XF251" s="4"/>
      <c r="XG251" s="4"/>
      <c r="XH251" s="4"/>
      <c r="XI251" s="4"/>
      <c r="XJ251" s="4"/>
      <c r="XK251" s="4"/>
      <c r="XL251" s="4"/>
      <c r="XM251" s="4"/>
      <c r="XN251" s="4"/>
      <c r="XO251" s="4"/>
      <c r="XP251" s="4"/>
      <c r="XQ251" s="4"/>
      <c r="XR251" s="4"/>
      <c r="XS251" s="4"/>
      <c r="XT251" s="4"/>
      <c r="XU251" s="4"/>
      <c r="XV251" s="4"/>
      <c r="XW251" s="4"/>
      <c r="XX251" s="4"/>
      <c r="XY251" s="4"/>
      <c r="XZ251" s="4"/>
      <c r="YA251" s="4"/>
      <c r="YB251" s="4"/>
      <c r="YC251" s="4"/>
      <c r="YD251" s="4"/>
      <c r="YE251" s="4"/>
      <c r="YF251" s="4"/>
      <c r="YG251" s="4"/>
      <c r="YH251" s="4"/>
      <c r="YI251" s="4"/>
      <c r="YJ251" s="4"/>
      <c r="YK251" s="4"/>
      <c r="YL251" s="4"/>
      <c r="YM251" s="4"/>
      <c r="YN251" s="4"/>
      <c r="YO251" s="4"/>
      <c r="YP251" s="4"/>
      <c r="YQ251" s="4"/>
      <c r="YR251" s="4"/>
      <c r="YS251" s="4"/>
      <c r="YT251" s="4"/>
      <c r="YU251" s="4"/>
      <c r="YV251" s="4"/>
      <c r="YW251" s="4"/>
      <c r="YX251" s="4"/>
      <c r="YY251" s="4"/>
      <c r="YZ251" s="4"/>
      <c r="ZA251" s="4"/>
      <c r="ZB251" s="4"/>
      <c r="ZC251" s="4"/>
      <c r="ZD251" s="4"/>
      <c r="ZE251" s="4"/>
      <c r="ZF251" s="4"/>
      <c r="ZG251" s="4"/>
      <c r="ZH251" s="4"/>
      <c r="ZI251" s="4"/>
      <c r="ZJ251" s="4"/>
      <c r="ZK251" s="4"/>
      <c r="ZL251" s="4"/>
      <c r="ZM251" s="4"/>
      <c r="ZN251" s="4"/>
      <c r="ZO251" s="4"/>
      <c r="ZP251" s="4"/>
      <c r="ZQ251" s="4"/>
      <c r="ZR251" s="4"/>
      <c r="ZS251" s="4"/>
      <c r="ZT251" s="4"/>
      <c r="ZU251" s="4"/>
      <c r="ZV251" s="4"/>
      <c r="ZW251" s="4"/>
      <c r="ZX251" s="4"/>
      <c r="ZY251" s="4"/>
      <c r="ZZ251" s="4"/>
      <c r="AAA251" s="4"/>
      <c r="AAB251" s="4"/>
      <c r="AAC251" s="4"/>
      <c r="AAD251" s="4"/>
    </row>
    <row r="252" spans="1:706" ht="15" customHeight="1" x14ac:dyDescent="0.15">
      <c r="A252" s="13"/>
      <c r="B252" s="21"/>
      <c r="C252" s="22"/>
      <c r="D252" s="22"/>
      <c r="E252" s="22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6"/>
      <c r="AQ252" s="66"/>
      <c r="AR252" s="66"/>
      <c r="AS252" s="66"/>
      <c r="AT252" s="66"/>
      <c r="AU252" s="66"/>
      <c r="AV252" s="66"/>
      <c r="AW252" s="66"/>
      <c r="AX252" s="66"/>
      <c r="AY252" s="66"/>
      <c r="AZ252" s="66"/>
      <c r="BA252" s="66"/>
      <c r="BB252" s="66"/>
      <c r="BC252" s="66"/>
      <c r="BD252" s="66"/>
      <c r="BE252" s="66"/>
      <c r="BF252" s="66"/>
      <c r="BG252" s="66"/>
      <c r="BH252" s="66"/>
      <c r="BI252" s="66"/>
      <c r="BJ252" s="66"/>
      <c r="BK252" s="66"/>
      <c r="BL252" s="66"/>
      <c r="BM252" s="66"/>
      <c r="BN252" s="66"/>
      <c r="BO252" s="66"/>
      <c r="BP252" s="66"/>
      <c r="BQ252" s="66"/>
      <c r="BR252" s="66"/>
      <c r="BS252" s="66"/>
      <c r="BT252" s="66"/>
      <c r="BU252" s="66"/>
      <c r="BV252" s="66"/>
      <c r="BW252" s="66"/>
      <c r="BX252" s="66"/>
      <c r="BY252" s="66"/>
      <c r="BZ252" s="66"/>
      <c r="CA252" s="66"/>
      <c r="CB252" s="66"/>
      <c r="CC252" s="66"/>
      <c r="CD252" s="66"/>
      <c r="CE252" s="66"/>
      <c r="CF252" s="66"/>
      <c r="CG252" s="66"/>
      <c r="CH252" s="66"/>
      <c r="CI252" s="66"/>
      <c r="CJ252" s="66"/>
      <c r="CK252" s="66"/>
      <c r="CL252" s="66"/>
      <c r="CM252" s="66"/>
      <c r="CN252" s="66"/>
      <c r="CO252" s="66"/>
      <c r="CP252" s="66"/>
      <c r="CQ252" s="66"/>
      <c r="CR252" s="66"/>
      <c r="CS252" s="66"/>
      <c r="CT252" s="66"/>
      <c r="CU252" s="66"/>
      <c r="CV252" s="66"/>
      <c r="CW252" s="66"/>
      <c r="CX252" s="66"/>
      <c r="CY252" s="66"/>
      <c r="CZ252" s="66"/>
      <c r="DA252" s="66"/>
      <c r="DB252" s="66"/>
      <c r="DC252" s="66"/>
      <c r="DD252" s="66"/>
      <c r="DE252" s="66"/>
      <c r="DF252" s="66"/>
      <c r="DG252" s="66"/>
      <c r="DH252" s="66"/>
      <c r="DI252" s="66"/>
      <c r="DJ252" s="66"/>
      <c r="DK252" s="22"/>
      <c r="DL252" s="22"/>
      <c r="DM252" s="22"/>
      <c r="DN252" s="13"/>
      <c r="DO252" s="24"/>
    </row>
    <row r="253" spans="1:706" ht="4.5" customHeight="1" x14ac:dyDescent="0.15">
      <c r="A253" s="13"/>
      <c r="B253" s="21"/>
      <c r="C253" s="22"/>
      <c r="D253" s="22"/>
      <c r="E253" s="22"/>
      <c r="F253" s="58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59"/>
      <c r="BD253" s="59"/>
      <c r="BE253" s="59"/>
      <c r="BF253" s="59"/>
      <c r="BG253" s="59"/>
      <c r="BH253" s="59"/>
      <c r="BI253" s="59"/>
      <c r="BJ253" s="59"/>
      <c r="BK253" s="59"/>
      <c r="BL253" s="59"/>
      <c r="BM253" s="59"/>
      <c r="BN253" s="59"/>
      <c r="BO253" s="59"/>
      <c r="BP253" s="59"/>
      <c r="BQ253" s="59"/>
      <c r="BR253" s="59"/>
      <c r="BS253" s="59"/>
      <c r="BT253" s="59"/>
      <c r="BU253" s="59"/>
      <c r="BV253" s="59"/>
      <c r="BW253" s="59"/>
      <c r="BX253" s="59"/>
      <c r="BY253" s="59"/>
      <c r="BZ253" s="59"/>
      <c r="CA253" s="59"/>
      <c r="CB253" s="59"/>
      <c r="CC253" s="59"/>
      <c r="CD253" s="59"/>
      <c r="CE253" s="59"/>
      <c r="CF253" s="59"/>
      <c r="CG253" s="59"/>
      <c r="CH253" s="59"/>
      <c r="CI253" s="59"/>
      <c r="CJ253" s="59"/>
      <c r="CK253" s="59"/>
      <c r="CL253" s="59"/>
      <c r="CM253" s="59"/>
      <c r="CN253" s="59"/>
      <c r="CO253" s="59"/>
      <c r="CP253" s="59"/>
      <c r="CQ253" s="59"/>
      <c r="CR253" s="59"/>
      <c r="CS253" s="59"/>
      <c r="CT253" s="59"/>
      <c r="CU253" s="59"/>
      <c r="CV253" s="59"/>
      <c r="CW253" s="59"/>
      <c r="CX253" s="59"/>
      <c r="CY253" s="59"/>
      <c r="CZ253" s="59"/>
      <c r="DA253" s="59"/>
      <c r="DB253" s="59"/>
      <c r="DC253" s="59"/>
      <c r="DD253" s="59"/>
      <c r="DE253" s="59"/>
      <c r="DF253" s="59"/>
      <c r="DG253" s="59"/>
      <c r="DH253" s="59"/>
      <c r="DI253" s="59"/>
      <c r="DJ253" s="60"/>
      <c r="DK253" s="22"/>
      <c r="DL253" s="22"/>
      <c r="DM253" s="22"/>
      <c r="DN253" s="13"/>
      <c r="DO253" s="24"/>
    </row>
    <row r="254" spans="1:706" ht="37.5" customHeight="1" x14ac:dyDescent="0.15">
      <c r="A254" s="13"/>
      <c r="B254" s="21"/>
      <c r="C254" s="22"/>
      <c r="D254" s="22"/>
      <c r="E254" s="22"/>
      <c r="F254" s="61"/>
      <c r="G254" s="188" t="s">
        <v>137</v>
      </c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  <c r="AE254" s="106"/>
      <c r="AF254" s="106"/>
      <c r="AG254" s="106"/>
      <c r="AH254" s="106"/>
      <c r="AI254" s="106"/>
      <c r="AJ254" s="106"/>
      <c r="AK254" s="106"/>
      <c r="AL254" s="106"/>
      <c r="AM254" s="106"/>
      <c r="AN254" s="106"/>
      <c r="AO254" s="107"/>
      <c r="AP254" s="73"/>
      <c r="AQ254" s="188" t="s">
        <v>138</v>
      </c>
      <c r="AR254" s="106"/>
      <c r="AS254" s="106"/>
      <c r="AT254" s="106"/>
      <c r="AU254" s="106"/>
      <c r="AV254" s="106"/>
      <c r="AW254" s="106"/>
      <c r="AX254" s="106"/>
      <c r="AY254" s="106"/>
      <c r="AZ254" s="106"/>
      <c r="BA254" s="106"/>
      <c r="BB254" s="106"/>
      <c r="BC254" s="106"/>
      <c r="BD254" s="106"/>
      <c r="BE254" s="106"/>
      <c r="BF254" s="106"/>
      <c r="BG254" s="106"/>
      <c r="BH254" s="106"/>
      <c r="BI254" s="106"/>
      <c r="BJ254" s="106"/>
      <c r="BK254" s="106"/>
      <c r="BL254" s="106"/>
      <c r="BM254" s="106"/>
      <c r="BN254" s="106"/>
      <c r="BO254" s="106"/>
      <c r="BP254" s="106"/>
      <c r="BQ254" s="106"/>
      <c r="BR254" s="106"/>
      <c r="BS254" s="106"/>
      <c r="BT254" s="106"/>
      <c r="BU254" s="106"/>
      <c r="BV254" s="106"/>
      <c r="BW254" s="106"/>
      <c r="BX254" s="106"/>
      <c r="BY254" s="107"/>
      <c r="BZ254" s="73"/>
      <c r="CA254" s="188" t="s">
        <v>139</v>
      </c>
      <c r="CB254" s="106"/>
      <c r="CC254" s="106"/>
      <c r="CD254" s="106"/>
      <c r="CE254" s="106"/>
      <c r="CF254" s="106"/>
      <c r="CG254" s="106"/>
      <c r="CH254" s="106"/>
      <c r="CI254" s="106"/>
      <c r="CJ254" s="106"/>
      <c r="CK254" s="106"/>
      <c r="CL254" s="106"/>
      <c r="CM254" s="106"/>
      <c r="CN254" s="106"/>
      <c r="CO254" s="106"/>
      <c r="CP254" s="106"/>
      <c r="CQ254" s="106"/>
      <c r="CR254" s="106"/>
      <c r="CS254" s="106"/>
      <c r="CT254" s="106"/>
      <c r="CU254" s="106"/>
      <c r="CV254" s="106"/>
      <c r="CW254" s="106"/>
      <c r="CX254" s="106"/>
      <c r="CY254" s="106"/>
      <c r="CZ254" s="106"/>
      <c r="DA254" s="106"/>
      <c r="DB254" s="106"/>
      <c r="DC254" s="106"/>
      <c r="DD254" s="106"/>
      <c r="DE254" s="106"/>
      <c r="DF254" s="106"/>
      <c r="DG254" s="106"/>
      <c r="DH254" s="106"/>
      <c r="DI254" s="107"/>
      <c r="DJ254" s="62"/>
      <c r="DK254" s="22"/>
      <c r="DL254" s="22"/>
      <c r="DM254" s="22"/>
      <c r="DN254" s="13"/>
      <c r="DO254" s="24"/>
    </row>
    <row r="255" spans="1:706" ht="4.5" customHeight="1" x14ac:dyDescent="0.15">
      <c r="A255" s="13"/>
      <c r="B255" s="21"/>
      <c r="C255" s="22"/>
      <c r="D255" s="22"/>
      <c r="E255" s="22"/>
      <c r="F255" s="61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69"/>
      <c r="AJ255" s="69"/>
      <c r="AK255" s="69"/>
      <c r="AL255" s="69"/>
      <c r="AM255" s="69"/>
      <c r="AN255" s="69"/>
      <c r="AO255" s="69"/>
      <c r="AP255" s="69"/>
      <c r="AQ255" s="69"/>
      <c r="AR255" s="69"/>
      <c r="AS255" s="69"/>
      <c r="AT255" s="69"/>
      <c r="AU255" s="69"/>
      <c r="AV255" s="69"/>
      <c r="AW255" s="69"/>
      <c r="AX255" s="69"/>
      <c r="AY255" s="69"/>
      <c r="AZ255" s="69"/>
      <c r="BA255" s="69"/>
      <c r="BB255" s="69"/>
      <c r="BC255" s="69"/>
      <c r="BD255" s="69"/>
      <c r="BE255" s="69"/>
      <c r="BF255" s="69"/>
      <c r="BG255" s="69"/>
      <c r="BH255" s="69"/>
      <c r="BI255" s="69"/>
      <c r="BJ255" s="69"/>
      <c r="BK255" s="69"/>
      <c r="BL255" s="69"/>
      <c r="BM255" s="69"/>
      <c r="BN255" s="69"/>
      <c r="BO255" s="69"/>
      <c r="BP255" s="69"/>
      <c r="BQ255" s="69"/>
      <c r="BR255" s="69"/>
      <c r="BS255" s="69"/>
      <c r="BT255" s="69"/>
      <c r="BU255" s="69"/>
      <c r="BV255" s="69"/>
      <c r="BW255" s="69"/>
      <c r="BX255" s="69"/>
      <c r="BY255" s="69"/>
      <c r="BZ255" s="69"/>
      <c r="CA255" s="69"/>
      <c r="CB255" s="69"/>
      <c r="CC255" s="69"/>
      <c r="CD255" s="69"/>
      <c r="CE255" s="69"/>
      <c r="CF255" s="69"/>
      <c r="CG255" s="69"/>
      <c r="CH255" s="69"/>
      <c r="CI255" s="69"/>
      <c r="CJ255" s="69"/>
      <c r="CK255" s="69"/>
      <c r="CL255" s="69"/>
      <c r="CM255" s="69"/>
      <c r="CN255" s="69"/>
      <c r="CO255" s="69"/>
      <c r="CP255" s="69"/>
      <c r="CQ255" s="69"/>
      <c r="CR255" s="69"/>
      <c r="CS255" s="69"/>
      <c r="CT255" s="69"/>
      <c r="CU255" s="69"/>
      <c r="CV255" s="69"/>
      <c r="CW255" s="69"/>
      <c r="CX255" s="69"/>
      <c r="CY255" s="69"/>
      <c r="CZ255" s="69"/>
      <c r="DA255" s="69"/>
      <c r="DB255" s="69"/>
      <c r="DC255" s="69"/>
      <c r="DD255" s="69"/>
      <c r="DE255" s="69"/>
      <c r="DF255" s="69"/>
      <c r="DG255" s="69"/>
      <c r="DH255" s="69"/>
      <c r="DI255" s="69"/>
      <c r="DJ255" s="62"/>
      <c r="DK255" s="22"/>
      <c r="DL255" s="22"/>
      <c r="DM255" s="22"/>
      <c r="DN255" s="13"/>
      <c r="DO255" s="24"/>
    </row>
    <row r="256" spans="1:706" ht="30" customHeight="1" x14ac:dyDescent="0.15">
      <c r="A256" s="13"/>
      <c r="B256" s="21"/>
      <c r="C256" s="22"/>
      <c r="D256" s="22"/>
      <c r="E256" s="22"/>
      <c r="F256" s="61"/>
      <c r="G256" s="191" t="s">
        <v>140</v>
      </c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/>
      <c r="AE256" s="118"/>
      <c r="AF256" s="118"/>
      <c r="AG256" s="118"/>
      <c r="AH256" s="118"/>
      <c r="AI256" s="118"/>
      <c r="AJ256" s="118"/>
      <c r="AK256" s="118"/>
      <c r="AL256" s="118"/>
      <c r="AM256" s="118"/>
      <c r="AN256" s="118"/>
      <c r="AO256" s="118"/>
      <c r="AP256" s="73"/>
      <c r="AQ256" s="191" t="s">
        <v>141</v>
      </c>
      <c r="AR256" s="118"/>
      <c r="AS256" s="118"/>
      <c r="AT256" s="118"/>
      <c r="AU256" s="118"/>
      <c r="AV256" s="118"/>
      <c r="AW256" s="118"/>
      <c r="AX256" s="118"/>
      <c r="AY256" s="118"/>
      <c r="AZ256" s="118"/>
      <c r="BA256" s="118"/>
      <c r="BB256" s="118"/>
      <c r="BC256" s="118"/>
      <c r="BD256" s="118"/>
      <c r="BE256" s="118"/>
      <c r="BF256" s="118"/>
      <c r="BG256" s="118"/>
      <c r="BH256" s="118"/>
      <c r="BI256" s="118"/>
      <c r="BJ256" s="118"/>
      <c r="BK256" s="118"/>
      <c r="BL256" s="118"/>
      <c r="BM256" s="118"/>
      <c r="BN256" s="118"/>
      <c r="BO256" s="118"/>
      <c r="BP256" s="118"/>
      <c r="BQ256" s="118"/>
      <c r="BR256" s="118"/>
      <c r="BS256" s="118"/>
      <c r="BT256" s="118"/>
      <c r="BU256" s="118"/>
      <c r="BV256" s="118"/>
      <c r="BW256" s="118"/>
      <c r="BX256" s="118"/>
      <c r="BY256" s="118"/>
      <c r="BZ256" s="73"/>
      <c r="CA256" s="191" t="s">
        <v>142</v>
      </c>
      <c r="CB256" s="118"/>
      <c r="CC256" s="118"/>
      <c r="CD256" s="118"/>
      <c r="CE256" s="118"/>
      <c r="CF256" s="118"/>
      <c r="CG256" s="118"/>
      <c r="CH256" s="118"/>
      <c r="CI256" s="118"/>
      <c r="CJ256" s="118"/>
      <c r="CK256" s="118"/>
      <c r="CL256" s="118"/>
      <c r="CM256" s="118"/>
      <c r="CN256" s="118"/>
      <c r="CO256" s="118"/>
      <c r="CP256" s="118"/>
      <c r="CQ256" s="118"/>
      <c r="CR256" s="118"/>
      <c r="CS256" s="118"/>
      <c r="CT256" s="118"/>
      <c r="CU256" s="118"/>
      <c r="CV256" s="118"/>
      <c r="CW256" s="118"/>
      <c r="CX256" s="118"/>
      <c r="CY256" s="118"/>
      <c r="CZ256" s="118"/>
      <c r="DA256" s="118"/>
      <c r="DB256" s="118"/>
      <c r="DC256" s="118"/>
      <c r="DD256" s="118"/>
      <c r="DE256" s="118"/>
      <c r="DF256" s="118"/>
      <c r="DG256" s="118"/>
      <c r="DH256" s="118"/>
      <c r="DI256" s="118"/>
      <c r="DJ256" s="62"/>
      <c r="DK256" s="22"/>
      <c r="DL256" s="22"/>
      <c r="DM256" s="22"/>
      <c r="DN256" s="13"/>
      <c r="DO256" s="24"/>
    </row>
    <row r="257" spans="1:706" ht="4.5" customHeight="1" x14ac:dyDescent="0.15">
      <c r="A257" s="13"/>
      <c r="B257" s="21"/>
      <c r="C257" s="22"/>
      <c r="D257" s="22"/>
      <c r="E257" s="22"/>
      <c r="F257" s="61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69"/>
      <c r="AJ257" s="69"/>
      <c r="AK257" s="69"/>
      <c r="AL257" s="69"/>
      <c r="AM257" s="69"/>
      <c r="AN257" s="69"/>
      <c r="AO257" s="69"/>
      <c r="AP257" s="69"/>
      <c r="AQ257" s="69"/>
      <c r="AR257" s="69"/>
      <c r="AS257" s="69"/>
      <c r="AT257" s="69"/>
      <c r="AU257" s="69"/>
      <c r="AV257" s="69"/>
      <c r="AW257" s="69"/>
      <c r="AX257" s="69"/>
      <c r="AY257" s="69"/>
      <c r="AZ257" s="69"/>
      <c r="BA257" s="69"/>
      <c r="BB257" s="69"/>
      <c r="BC257" s="69"/>
      <c r="BD257" s="69"/>
      <c r="BE257" s="69"/>
      <c r="BF257" s="69"/>
      <c r="BG257" s="69"/>
      <c r="BH257" s="69"/>
      <c r="BI257" s="69"/>
      <c r="BJ257" s="69"/>
      <c r="BK257" s="69"/>
      <c r="BL257" s="69"/>
      <c r="BM257" s="69"/>
      <c r="BN257" s="69"/>
      <c r="BO257" s="69"/>
      <c r="BP257" s="69"/>
      <c r="BQ257" s="69"/>
      <c r="BR257" s="69"/>
      <c r="BS257" s="69"/>
      <c r="BT257" s="69"/>
      <c r="BU257" s="69"/>
      <c r="BV257" s="69"/>
      <c r="BW257" s="69"/>
      <c r="BX257" s="69"/>
      <c r="BY257" s="69"/>
      <c r="BZ257" s="69"/>
      <c r="CA257" s="69"/>
      <c r="CB257" s="69"/>
      <c r="CC257" s="69"/>
      <c r="CD257" s="69"/>
      <c r="CE257" s="69"/>
      <c r="CF257" s="69"/>
      <c r="CG257" s="69"/>
      <c r="CH257" s="69"/>
      <c r="CI257" s="69"/>
      <c r="CJ257" s="69"/>
      <c r="CK257" s="69"/>
      <c r="CL257" s="69"/>
      <c r="CM257" s="69"/>
      <c r="CN257" s="69"/>
      <c r="CO257" s="69"/>
      <c r="CP257" s="69"/>
      <c r="CQ257" s="69"/>
      <c r="CR257" s="69"/>
      <c r="CS257" s="69"/>
      <c r="CT257" s="69"/>
      <c r="CU257" s="69"/>
      <c r="CV257" s="69"/>
      <c r="CW257" s="69"/>
      <c r="CX257" s="69"/>
      <c r="CY257" s="69"/>
      <c r="CZ257" s="69"/>
      <c r="DA257" s="69"/>
      <c r="DB257" s="69"/>
      <c r="DC257" s="69"/>
      <c r="DD257" s="69"/>
      <c r="DE257" s="69"/>
      <c r="DF257" s="69"/>
      <c r="DG257" s="69"/>
      <c r="DH257" s="69"/>
      <c r="DI257" s="69"/>
      <c r="DJ257" s="62"/>
      <c r="DK257" s="22"/>
      <c r="DL257" s="22"/>
      <c r="DM257" s="22"/>
      <c r="DN257" s="13"/>
      <c r="DO257" s="24"/>
    </row>
    <row r="258" spans="1:706" ht="30" customHeight="1" x14ac:dyDescent="0.15">
      <c r="A258" s="13"/>
      <c r="B258" s="21"/>
      <c r="C258" s="22"/>
      <c r="D258" s="22"/>
      <c r="E258" s="22"/>
      <c r="F258" s="61"/>
      <c r="G258" s="191" t="s">
        <v>143</v>
      </c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/>
      <c r="AE258" s="118"/>
      <c r="AF258" s="118"/>
      <c r="AG258" s="118"/>
      <c r="AH258" s="118"/>
      <c r="AI258" s="118"/>
      <c r="AJ258" s="118"/>
      <c r="AK258" s="118"/>
      <c r="AL258" s="118"/>
      <c r="AM258" s="118"/>
      <c r="AN258" s="118"/>
      <c r="AO258" s="118"/>
      <c r="AP258" s="73"/>
      <c r="AQ258" s="191" t="s">
        <v>141</v>
      </c>
      <c r="AR258" s="118"/>
      <c r="AS258" s="118"/>
      <c r="AT258" s="118"/>
      <c r="AU258" s="118"/>
      <c r="AV258" s="118"/>
      <c r="AW258" s="118"/>
      <c r="AX258" s="118"/>
      <c r="AY258" s="118"/>
      <c r="AZ258" s="118"/>
      <c r="BA258" s="118"/>
      <c r="BB258" s="118"/>
      <c r="BC258" s="118"/>
      <c r="BD258" s="118"/>
      <c r="BE258" s="118"/>
      <c r="BF258" s="118"/>
      <c r="BG258" s="118"/>
      <c r="BH258" s="118"/>
      <c r="BI258" s="118"/>
      <c r="BJ258" s="118"/>
      <c r="BK258" s="118"/>
      <c r="BL258" s="118"/>
      <c r="BM258" s="118"/>
      <c r="BN258" s="118"/>
      <c r="BO258" s="118"/>
      <c r="BP258" s="118"/>
      <c r="BQ258" s="118"/>
      <c r="BR258" s="118"/>
      <c r="BS258" s="118"/>
      <c r="BT258" s="118"/>
      <c r="BU258" s="118"/>
      <c r="BV258" s="118"/>
      <c r="BW258" s="118"/>
      <c r="BX258" s="118"/>
      <c r="BY258" s="118"/>
      <c r="BZ258" s="73"/>
      <c r="CA258" s="191" t="s">
        <v>144</v>
      </c>
      <c r="CB258" s="118"/>
      <c r="CC258" s="118"/>
      <c r="CD258" s="118"/>
      <c r="CE258" s="118"/>
      <c r="CF258" s="118"/>
      <c r="CG258" s="118"/>
      <c r="CH258" s="118"/>
      <c r="CI258" s="118"/>
      <c r="CJ258" s="118"/>
      <c r="CK258" s="118"/>
      <c r="CL258" s="118"/>
      <c r="CM258" s="118"/>
      <c r="CN258" s="118"/>
      <c r="CO258" s="118"/>
      <c r="CP258" s="118"/>
      <c r="CQ258" s="118"/>
      <c r="CR258" s="118"/>
      <c r="CS258" s="118"/>
      <c r="CT258" s="118"/>
      <c r="CU258" s="118"/>
      <c r="CV258" s="118"/>
      <c r="CW258" s="118"/>
      <c r="CX258" s="118"/>
      <c r="CY258" s="118"/>
      <c r="CZ258" s="118"/>
      <c r="DA258" s="118"/>
      <c r="DB258" s="118"/>
      <c r="DC258" s="118"/>
      <c r="DD258" s="118"/>
      <c r="DE258" s="118"/>
      <c r="DF258" s="118"/>
      <c r="DG258" s="118"/>
      <c r="DH258" s="118"/>
      <c r="DI258" s="118"/>
      <c r="DJ258" s="62"/>
      <c r="DK258" s="22"/>
      <c r="DL258" s="22"/>
      <c r="DM258" s="22"/>
      <c r="DN258" s="13"/>
      <c r="DO258" s="24"/>
    </row>
    <row r="259" spans="1:706" ht="4.5" customHeight="1" x14ac:dyDescent="0.15">
      <c r="A259" s="13"/>
      <c r="B259" s="21"/>
      <c r="C259" s="22"/>
      <c r="D259" s="22"/>
      <c r="E259" s="22"/>
      <c r="F259" s="61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69"/>
      <c r="AJ259" s="69"/>
      <c r="AK259" s="69"/>
      <c r="AL259" s="69"/>
      <c r="AM259" s="69"/>
      <c r="AN259" s="69"/>
      <c r="AO259" s="69"/>
      <c r="AP259" s="69"/>
      <c r="AQ259" s="69"/>
      <c r="AR259" s="69"/>
      <c r="AS259" s="69"/>
      <c r="AT259" s="69"/>
      <c r="AU259" s="69"/>
      <c r="AV259" s="69"/>
      <c r="AW259" s="69"/>
      <c r="AX259" s="69"/>
      <c r="AY259" s="69"/>
      <c r="AZ259" s="69"/>
      <c r="BA259" s="69"/>
      <c r="BB259" s="69"/>
      <c r="BC259" s="69"/>
      <c r="BD259" s="69"/>
      <c r="BE259" s="69"/>
      <c r="BF259" s="69"/>
      <c r="BG259" s="69"/>
      <c r="BH259" s="69"/>
      <c r="BI259" s="69"/>
      <c r="BJ259" s="69"/>
      <c r="BK259" s="69"/>
      <c r="BL259" s="69"/>
      <c r="BM259" s="69"/>
      <c r="BN259" s="69"/>
      <c r="BO259" s="69"/>
      <c r="BP259" s="69"/>
      <c r="BQ259" s="69"/>
      <c r="BR259" s="69"/>
      <c r="BS259" s="69"/>
      <c r="BT259" s="69"/>
      <c r="BU259" s="69"/>
      <c r="BV259" s="69"/>
      <c r="BW259" s="69"/>
      <c r="BX259" s="69"/>
      <c r="BY259" s="69"/>
      <c r="BZ259" s="69"/>
      <c r="CA259" s="69"/>
      <c r="CB259" s="69"/>
      <c r="CC259" s="69"/>
      <c r="CD259" s="69"/>
      <c r="CE259" s="69"/>
      <c r="CF259" s="69"/>
      <c r="CG259" s="69"/>
      <c r="CH259" s="69"/>
      <c r="CI259" s="69"/>
      <c r="CJ259" s="69"/>
      <c r="CK259" s="69"/>
      <c r="CL259" s="69"/>
      <c r="CM259" s="69"/>
      <c r="CN259" s="69"/>
      <c r="CO259" s="69"/>
      <c r="CP259" s="69"/>
      <c r="CQ259" s="69"/>
      <c r="CR259" s="69"/>
      <c r="CS259" s="69"/>
      <c r="CT259" s="69"/>
      <c r="CU259" s="69"/>
      <c r="CV259" s="69"/>
      <c r="CW259" s="69"/>
      <c r="CX259" s="69"/>
      <c r="CY259" s="69"/>
      <c r="CZ259" s="69"/>
      <c r="DA259" s="69"/>
      <c r="DB259" s="69"/>
      <c r="DC259" s="69"/>
      <c r="DD259" s="69"/>
      <c r="DE259" s="69"/>
      <c r="DF259" s="69"/>
      <c r="DG259" s="69"/>
      <c r="DH259" s="69"/>
      <c r="DI259" s="69"/>
      <c r="DJ259" s="62"/>
      <c r="DK259" s="22"/>
      <c r="DL259" s="22"/>
      <c r="DM259" s="22"/>
      <c r="DN259" s="13"/>
      <c r="DO259" s="24"/>
    </row>
    <row r="260" spans="1:706" ht="30" customHeight="1" x14ac:dyDescent="0.15">
      <c r="A260" s="13"/>
      <c r="B260" s="21"/>
      <c r="C260" s="22"/>
      <c r="D260" s="22"/>
      <c r="E260" s="22"/>
      <c r="F260" s="61"/>
      <c r="G260" s="191" t="s">
        <v>140</v>
      </c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8"/>
      <c r="AE260" s="118"/>
      <c r="AF260" s="118"/>
      <c r="AG260" s="118"/>
      <c r="AH260" s="118"/>
      <c r="AI260" s="118"/>
      <c r="AJ260" s="118"/>
      <c r="AK260" s="118"/>
      <c r="AL260" s="118"/>
      <c r="AM260" s="118"/>
      <c r="AN260" s="118"/>
      <c r="AO260" s="118"/>
      <c r="AP260" s="73"/>
      <c r="AQ260" s="191" t="s">
        <v>145</v>
      </c>
      <c r="AR260" s="118"/>
      <c r="AS260" s="118"/>
      <c r="AT260" s="118"/>
      <c r="AU260" s="118"/>
      <c r="AV260" s="118"/>
      <c r="AW260" s="118"/>
      <c r="AX260" s="118"/>
      <c r="AY260" s="118"/>
      <c r="AZ260" s="118"/>
      <c r="BA260" s="118"/>
      <c r="BB260" s="118"/>
      <c r="BC260" s="118"/>
      <c r="BD260" s="118"/>
      <c r="BE260" s="118"/>
      <c r="BF260" s="118"/>
      <c r="BG260" s="118"/>
      <c r="BH260" s="118"/>
      <c r="BI260" s="118"/>
      <c r="BJ260" s="118"/>
      <c r="BK260" s="118"/>
      <c r="BL260" s="118"/>
      <c r="BM260" s="118"/>
      <c r="BN260" s="118"/>
      <c r="BO260" s="118"/>
      <c r="BP260" s="118"/>
      <c r="BQ260" s="118"/>
      <c r="BR260" s="118"/>
      <c r="BS260" s="118"/>
      <c r="BT260" s="118"/>
      <c r="BU260" s="118"/>
      <c r="BV260" s="118"/>
      <c r="BW260" s="118"/>
      <c r="BX260" s="118"/>
      <c r="BY260" s="118"/>
      <c r="BZ260" s="73"/>
      <c r="CA260" s="191" t="s">
        <v>146</v>
      </c>
      <c r="CB260" s="118"/>
      <c r="CC260" s="118"/>
      <c r="CD260" s="118"/>
      <c r="CE260" s="118"/>
      <c r="CF260" s="118"/>
      <c r="CG260" s="118"/>
      <c r="CH260" s="118"/>
      <c r="CI260" s="118"/>
      <c r="CJ260" s="118"/>
      <c r="CK260" s="118"/>
      <c r="CL260" s="118"/>
      <c r="CM260" s="118"/>
      <c r="CN260" s="118"/>
      <c r="CO260" s="118"/>
      <c r="CP260" s="118"/>
      <c r="CQ260" s="118"/>
      <c r="CR260" s="118"/>
      <c r="CS260" s="118"/>
      <c r="CT260" s="118"/>
      <c r="CU260" s="118"/>
      <c r="CV260" s="118"/>
      <c r="CW260" s="118"/>
      <c r="CX260" s="118"/>
      <c r="CY260" s="118"/>
      <c r="CZ260" s="118"/>
      <c r="DA260" s="118"/>
      <c r="DB260" s="118"/>
      <c r="DC260" s="118"/>
      <c r="DD260" s="118"/>
      <c r="DE260" s="118"/>
      <c r="DF260" s="118"/>
      <c r="DG260" s="118"/>
      <c r="DH260" s="118"/>
      <c r="DI260" s="118"/>
      <c r="DJ260" s="62"/>
      <c r="DK260" s="22"/>
      <c r="DL260" s="22"/>
      <c r="DM260" s="22"/>
      <c r="DN260" s="13"/>
      <c r="DO260" s="24"/>
    </row>
    <row r="261" spans="1:706" ht="4.5" customHeight="1" x14ac:dyDescent="0.15">
      <c r="A261" s="13"/>
      <c r="B261" s="21"/>
      <c r="C261" s="22"/>
      <c r="D261" s="22"/>
      <c r="E261" s="22"/>
      <c r="F261" s="61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  <c r="AK261" s="69"/>
      <c r="AL261" s="69"/>
      <c r="AM261" s="69"/>
      <c r="AN261" s="69"/>
      <c r="AO261" s="69"/>
      <c r="AP261" s="69"/>
      <c r="AQ261" s="69"/>
      <c r="AR261" s="69"/>
      <c r="AS261" s="69"/>
      <c r="AT261" s="69"/>
      <c r="AU261" s="69"/>
      <c r="AV261" s="69"/>
      <c r="AW261" s="69"/>
      <c r="AX261" s="69"/>
      <c r="AY261" s="69"/>
      <c r="AZ261" s="69"/>
      <c r="BA261" s="69"/>
      <c r="BB261" s="69"/>
      <c r="BC261" s="69"/>
      <c r="BD261" s="69"/>
      <c r="BE261" s="69"/>
      <c r="BF261" s="69"/>
      <c r="BG261" s="69"/>
      <c r="BH261" s="69"/>
      <c r="BI261" s="69"/>
      <c r="BJ261" s="69"/>
      <c r="BK261" s="69"/>
      <c r="BL261" s="69"/>
      <c r="BM261" s="69"/>
      <c r="BN261" s="69"/>
      <c r="BO261" s="69"/>
      <c r="BP261" s="69"/>
      <c r="BQ261" s="69"/>
      <c r="BR261" s="69"/>
      <c r="BS261" s="69"/>
      <c r="BT261" s="69"/>
      <c r="BU261" s="69"/>
      <c r="BV261" s="69"/>
      <c r="BW261" s="69"/>
      <c r="BX261" s="69"/>
      <c r="BY261" s="69"/>
      <c r="BZ261" s="69"/>
      <c r="CA261" s="69"/>
      <c r="CB261" s="69"/>
      <c r="CC261" s="69"/>
      <c r="CD261" s="69"/>
      <c r="CE261" s="69"/>
      <c r="CF261" s="69"/>
      <c r="CG261" s="69"/>
      <c r="CH261" s="69"/>
      <c r="CI261" s="69"/>
      <c r="CJ261" s="69"/>
      <c r="CK261" s="69"/>
      <c r="CL261" s="69"/>
      <c r="CM261" s="69"/>
      <c r="CN261" s="69"/>
      <c r="CO261" s="69"/>
      <c r="CP261" s="69"/>
      <c r="CQ261" s="69"/>
      <c r="CR261" s="69"/>
      <c r="CS261" s="69"/>
      <c r="CT261" s="69"/>
      <c r="CU261" s="69"/>
      <c r="CV261" s="69"/>
      <c r="CW261" s="69"/>
      <c r="CX261" s="69"/>
      <c r="CY261" s="69"/>
      <c r="CZ261" s="69"/>
      <c r="DA261" s="69"/>
      <c r="DB261" s="69"/>
      <c r="DC261" s="69"/>
      <c r="DD261" s="69"/>
      <c r="DE261" s="69"/>
      <c r="DF261" s="69"/>
      <c r="DG261" s="69"/>
      <c r="DH261" s="69"/>
      <c r="DI261" s="69"/>
      <c r="DJ261" s="62"/>
      <c r="DK261" s="22"/>
      <c r="DL261" s="22"/>
      <c r="DM261" s="22"/>
      <c r="DN261" s="13"/>
      <c r="DO261" s="24"/>
    </row>
    <row r="262" spans="1:706" ht="30" customHeight="1" x14ac:dyDescent="0.15">
      <c r="A262" s="13"/>
      <c r="B262" s="21"/>
      <c r="C262" s="22"/>
      <c r="D262" s="22"/>
      <c r="E262" s="22"/>
      <c r="F262" s="61"/>
      <c r="G262" s="191" t="s">
        <v>2</v>
      </c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  <c r="AE262" s="118"/>
      <c r="AF262" s="118"/>
      <c r="AG262" s="118"/>
      <c r="AH262" s="118"/>
      <c r="AI262" s="118"/>
      <c r="AJ262" s="118"/>
      <c r="AK262" s="118"/>
      <c r="AL262" s="118"/>
      <c r="AM262" s="118"/>
      <c r="AN262" s="118"/>
      <c r="AO262" s="118"/>
      <c r="AP262" s="73"/>
      <c r="AQ262" s="191" t="s">
        <v>145</v>
      </c>
      <c r="AR262" s="118"/>
      <c r="AS262" s="118"/>
      <c r="AT262" s="118"/>
      <c r="AU262" s="118"/>
      <c r="AV262" s="118"/>
      <c r="AW262" s="118"/>
      <c r="AX262" s="118"/>
      <c r="AY262" s="118"/>
      <c r="AZ262" s="118"/>
      <c r="BA262" s="118"/>
      <c r="BB262" s="118"/>
      <c r="BC262" s="118"/>
      <c r="BD262" s="118"/>
      <c r="BE262" s="118"/>
      <c r="BF262" s="118"/>
      <c r="BG262" s="118"/>
      <c r="BH262" s="118"/>
      <c r="BI262" s="118"/>
      <c r="BJ262" s="118"/>
      <c r="BK262" s="118"/>
      <c r="BL262" s="118"/>
      <c r="BM262" s="118"/>
      <c r="BN262" s="118"/>
      <c r="BO262" s="118"/>
      <c r="BP262" s="118"/>
      <c r="BQ262" s="118"/>
      <c r="BR262" s="118"/>
      <c r="BS262" s="118"/>
      <c r="BT262" s="118"/>
      <c r="BU262" s="118"/>
      <c r="BV262" s="118"/>
      <c r="BW262" s="118"/>
      <c r="BX262" s="118"/>
      <c r="BY262" s="118"/>
      <c r="BZ262" s="73"/>
      <c r="CA262" s="191" t="s">
        <v>147</v>
      </c>
      <c r="CB262" s="118"/>
      <c r="CC262" s="118"/>
      <c r="CD262" s="118"/>
      <c r="CE262" s="118"/>
      <c r="CF262" s="118"/>
      <c r="CG262" s="118"/>
      <c r="CH262" s="118"/>
      <c r="CI262" s="118"/>
      <c r="CJ262" s="118"/>
      <c r="CK262" s="118"/>
      <c r="CL262" s="118"/>
      <c r="CM262" s="118"/>
      <c r="CN262" s="118"/>
      <c r="CO262" s="118"/>
      <c r="CP262" s="118"/>
      <c r="CQ262" s="118"/>
      <c r="CR262" s="118"/>
      <c r="CS262" s="118"/>
      <c r="CT262" s="118"/>
      <c r="CU262" s="118"/>
      <c r="CV262" s="118"/>
      <c r="CW262" s="118"/>
      <c r="CX262" s="118"/>
      <c r="CY262" s="118"/>
      <c r="CZ262" s="118"/>
      <c r="DA262" s="118"/>
      <c r="DB262" s="118"/>
      <c r="DC262" s="118"/>
      <c r="DD262" s="118"/>
      <c r="DE262" s="118"/>
      <c r="DF262" s="118"/>
      <c r="DG262" s="118"/>
      <c r="DH262" s="118"/>
      <c r="DI262" s="118"/>
      <c r="DJ262" s="62"/>
      <c r="DK262" s="22"/>
      <c r="DL262" s="22"/>
      <c r="DM262" s="22"/>
      <c r="DN262" s="13"/>
      <c r="DO262" s="24"/>
    </row>
    <row r="263" spans="1:706" ht="4.5" customHeight="1" x14ac:dyDescent="0.15">
      <c r="A263" s="13"/>
      <c r="B263" s="21"/>
      <c r="C263" s="22"/>
      <c r="D263" s="22"/>
      <c r="E263" s="22"/>
      <c r="F263" s="63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/>
      <c r="BB263" s="64"/>
      <c r="BC263" s="64"/>
      <c r="BD263" s="64"/>
      <c r="BE263" s="64"/>
      <c r="BF263" s="64"/>
      <c r="BG263" s="64"/>
      <c r="BH263" s="64"/>
      <c r="BI263" s="64"/>
      <c r="BJ263" s="64"/>
      <c r="BK263" s="64"/>
      <c r="BL263" s="64"/>
      <c r="BM263" s="64"/>
      <c r="BN263" s="64"/>
      <c r="BO263" s="64"/>
      <c r="BP263" s="64"/>
      <c r="BQ263" s="64"/>
      <c r="BR263" s="64"/>
      <c r="BS263" s="64"/>
      <c r="BT263" s="64"/>
      <c r="BU263" s="64"/>
      <c r="BV263" s="64"/>
      <c r="BW263" s="64"/>
      <c r="BX263" s="64"/>
      <c r="BY263" s="64"/>
      <c r="BZ263" s="64"/>
      <c r="CA263" s="64"/>
      <c r="CB263" s="64"/>
      <c r="CC263" s="64"/>
      <c r="CD263" s="64"/>
      <c r="CE263" s="64"/>
      <c r="CF263" s="64"/>
      <c r="CG263" s="64"/>
      <c r="CH263" s="64"/>
      <c r="CI263" s="64"/>
      <c r="CJ263" s="64"/>
      <c r="CK263" s="64"/>
      <c r="CL263" s="64"/>
      <c r="CM263" s="64"/>
      <c r="CN263" s="64"/>
      <c r="CO263" s="64"/>
      <c r="CP263" s="64"/>
      <c r="CQ263" s="64"/>
      <c r="CR263" s="64"/>
      <c r="CS263" s="64"/>
      <c r="CT263" s="64"/>
      <c r="CU263" s="64"/>
      <c r="CV263" s="64"/>
      <c r="CW263" s="64"/>
      <c r="CX263" s="64"/>
      <c r="CY263" s="64"/>
      <c r="CZ263" s="64"/>
      <c r="DA263" s="64"/>
      <c r="DB263" s="64"/>
      <c r="DC263" s="64"/>
      <c r="DD263" s="64"/>
      <c r="DE263" s="64"/>
      <c r="DF263" s="64"/>
      <c r="DG263" s="64"/>
      <c r="DH263" s="64"/>
      <c r="DI263" s="64"/>
      <c r="DJ263" s="65"/>
      <c r="DK263" s="22"/>
      <c r="DL263" s="22"/>
      <c r="DM263" s="22"/>
      <c r="DN263" s="13"/>
      <c r="DO263" s="24"/>
    </row>
    <row r="264" spans="1:706" ht="15" customHeight="1" x14ac:dyDescent="0.15">
      <c r="A264" s="13"/>
      <c r="B264" s="21"/>
      <c r="C264" s="22"/>
      <c r="D264" s="22"/>
      <c r="E264" s="22"/>
      <c r="F264" s="88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6"/>
      <c r="AK264" s="76"/>
      <c r="AL264" s="76"/>
      <c r="AM264" s="76"/>
      <c r="AN264" s="76"/>
      <c r="AO264" s="76"/>
      <c r="AP264" s="76"/>
      <c r="AQ264" s="76"/>
      <c r="AR264" s="76"/>
      <c r="AS264" s="76"/>
      <c r="AT264" s="76"/>
      <c r="AU264" s="76"/>
      <c r="AV264" s="76"/>
      <c r="AW264" s="76"/>
      <c r="AX264" s="76"/>
      <c r="AY264" s="76"/>
      <c r="AZ264" s="76"/>
      <c r="BA264" s="76"/>
      <c r="BB264" s="76"/>
      <c r="BC264" s="76"/>
      <c r="BD264" s="76"/>
      <c r="BE264" s="76"/>
      <c r="BF264" s="76"/>
      <c r="BG264" s="76"/>
      <c r="BH264" s="76"/>
      <c r="BI264" s="76"/>
      <c r="BJ264" s="76"/>
      <c r="BK264" s="76"/>
      <c r="BL264" s="76"/>
      <c r="BM264" s="76"/>
      <c r="BN264" s="76"/>
      <c r="BO264" s="76"/>
      <c r="BP264" s="76"/>
      <c r="BQ264" s="76"/>
      <c r="BR264" s="76"/>
      <c r="BS264" s="76"/>
      <c r="BT264" s="76"/>
      <c r="BU264" s="76"/>
      <c r="BV264" s="76"/>
      <c r="BW264" s="76"/>
      <c r="BX264" s="76"/>
      <c r="BY264" s="76"/>
      <c r="BZ264" s="76"/>
      <c r="CA264" s="76"/>
      <c r="CB264" s="76"/>
      <c r="CC264" s="76"/>
      <c r="CD264" s="76"/>
      <c r="CE264" s="76"/>
      <c r="CF264" s="76"/>
      <c r="CG264" s="76"/>
      <c r="CH264" s="76"/>
      <c r="CI264" s="76"/>
      <c r="CJ264" s="76"/>
      <c r="CK264" s="76"/>
      <c r="CL264" s="76"/>
      <c r="CM264" s="76"/>
      <c r="CN264" s="76"/>
      <c r="CO264" s="76"/>
      <c r="CP264" s="76"/>
      <c r="CQ264" s="76"/>
      <c r="CR264" s="76"/>
      <c r="CS264" s="76"/>
      <c r="CT264" s="76"/>
      <c r="CU264" s="76"/>
      <c r="CV264" s="76"/>
      <c r="CW264" s="76"/>
      <c r="CX264" s="76"/>
      <c r="CY264" s="76"/>
      <c r="CZ264" s="76"/>
      <c r="DA264" s="76"/>
      <c r="DB264" s="76"/>
      <c r="DC264" s="76"/>
      <c r="DD264" s="76"/>
      <c r="DE264" s="76"/>
      <c r="DF264" s="76"/>
      <c r="DG264" s="76"/>
      <c r="DH264" s="76"/>
      <c r="DI264" s="76"/>
      <c r="DJ264" s="22"/>
      <c r="DK264" s="22"/>
      <c r="DL264" s="22"/>
      <c r="DM264" s="22"/>
      <c r="DN264" s="13"/>
      <c r="DO264" s="24"/>
    </row>
    <row r="265" spans="1:706" ht="4.5" customHeight="1" x14ac:dyDescent="0.15">
      <c r="DN265" s="13"/>
    </row>
    <row r="266" spans="1:706" ht="4.5" customHeight="1" x14ac:dyDescent="0.15">
      <c r="DN266" s="13"/>
    </row>
    <row r="267" spans="1:706" ht="15" customHeight="1" x14ac:dyDescent="0.15">
      <c r="A267" s="4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  <c r="HI267" s="4"/>
      <c r="HJ267" s="4"/>
      <c r="HK267" s="4"/>
      <c r="HL267" s="4"/>
      <c r="HM267" s="4"/>
      <c r="HN267" s="4"/>
      <c r="HO267" s="4"/>
      <c r="HP267" s="4"/>
      <c r="HQ267" s="4"/>
      <c r="HR267" s="4"/>
      <c r="HS267" s="4"/>
      <c r="HT267" s="4"/>
      <c r="HU267" s="4"/>
      <c r="HV267" s="4"/>
      <c r="HW267" s="4"/>
      <c r="HX267" s="4"/>
      <c r="HY267" s="4"/>
      <c r="HZ267" s="4"/>
      <c r="IA267" s="4"/>
      <c r="IB267" s="4"/>
      <c r="IC267" s="4"/>
      <c r="ID267" s="4"/>
      <c r="IE267" s="4"/>
      <c r="IF267" s="4"/>
      <c r="IG267" s="4"/>
      <c r="IH267" s="4"/>
      <c r="II267" s="4"/>
      <c r="IJ267" s="4"/>
      <c r="IK267" s="4"/>
      <c r="IL267" s="4"/>
      <c r="IM267" s="4"/>
      <c r="IN267" s="4"/>
      <c r="IO267" s="4"/>
      <c r="IP267" s="4"/>
      <c r="IQ267" s="4"/>
      <c r="IR267" s="4"/>
      <c r="IS267" s="4"/>
      <c r="IT267" s="4"/>
      <c r="IU267" s="4"/>
      <c r="IV267" s="4"/>
      <c r="IW267" s="4"/>
      <c r="IX267" s="4"/>
      <c r="IY267" s="4"/>
      <c r="IZ267" s="4"/>
      <c r="JA267" s="4"/>
      <c r="JB267" s="4"/>
      <c r="JC267" s="4"/>
      <c r="JD267" s="4"/>
      <c r="JE267" s="4"/>
      <c r="JF267" s="4"/>
      <c r="JG267" s="4"/>
      <c r="JH267" s="4"/>
      <c r="JI267" s="4"/>
      <c r="JJ267" s="4"/>
      <c r="JK267" s="4"/>
      <c r="JL267" s="4"/>
      <c r="JM267" s="4"/>
      <c r="JN267" s="4"/>
      <c r="JO267" s="4"/>
      <c r="JP267" s="4"/>
      <c r="JQ267" s="4"/>
      <c r="JR267" s="4"/>
      <c r="JS267" s="4"/>
      <c r="JT267" s="4"/>
      <c r="JU267" s="4"/>
      <c r="JV267" s="4"/>
      <c r="JW267" s="4"/>
      <c r="JX267" s="4"/>
      <c r="JY267" s="4"/>
      <c r="JZ267" s="4"/>
      <c r="KA267" s="4"/>
      <c r="KB267" s="4"/>
      <c r="KC267" s="4"/>
      <c r="KD267" s="4"/>
      <c r="KE267" s="4"/>
      <c r="KF267" s="4"/>
      <c r="KG267" s="4"/>
      <c r="KH267" s="4"/>
      <c r="KI267" s="4"/>
      <c r="KJ267" s="4"/>
      <c r="KK267" s="4"/>
      <c r="KL267" s="4"/>
      <c r="KM267" s="4"/>
      <c r="KN267" s="4"/>
      <c r="KO267" s="4"/>
      <c r="KP267" s="4"/>
      <c r="KQ267" s="4"/>
      <c r="KR267" s="4"/>
      <c r="KS267" s="4"/>
      <c r="KT267" s="4"/>
      <c r="KU267" s="4"/>
      <c r="KV267" s="4"/>
      <c r="KW267" s="4"/>
      <c r="KX267" s="4"/>
      <c r="KY267" s="4"/>
      <c r="KZ267" s="4"/>
      <c r="LA267" s="4"/>
      <c r="LB267" s="4"/>
      <c r="LC267" s="4"/>
      <c r="LD267" s="4"/>
      <c r="LE267" s="4"/>
      <c r="LF267" s="4"/>
      <c r="LG267" s="4"/>
      <c r="LH267" s="4"/>
      <c r="LI267" s="4"/>
      <c r="LJ267" s="4"/>
      <c r="LK267" s="4"/>
      <c r="LL267" s="4"/>
      <c r="LM267" s="4"/>
      <c r="LN267" s="4"/>
      <c r="LO267" s="4"/>
      <c r="LP267" s="4"/>
      <c r="LQ267" s="4"/>
      <c r="LR267" s="4"/>
      <c r="LS267" s="4"/>
      <c r="LT267" s="4"/>
      <c r="LU267" s="4"/>
      <c r="LV267" s="4"/>
      <c r="LW267" s="4"/>
      <c r="LX267" s="4"/>
      <c r="LY267" s="4"/>
      <c r="LZ267" s="4"/>
      <c r="MA267" s="4"/>
      <c r="MB267" s="4"/>
      <c r="MC267" s="4"/>
      <c r="MD267" s="4"/>
      <c r="ME267" s="4"/>
      <c r="MF267" s="4"/>
      <c r="MG267" s="4"/>
      <c r="MH267" s="4"/>
      <c r="MI267" s="4"/>
      <c r="MJ267" s="4"/>
      <c r="MK267" s="4"/>
      <c r="ML267" s="4"/>
      <c r="MM267" s="4"/>
      <c r="MN267" s="4"/>
      <c r="MO267" s="4"/>
      <c r="MP267" s="4"/>
      <c r="MQ267" s="4"/>
      <c r="MR267" s="4"/>
      <c r="MS267" s="4"/>
      <c r="MT267" s="4"/>
      <c r="MU267" s="4"/>
      <c r="MV267" s="4"/>
      <c r="MW267" s="4"/>
      <c r="MX267" s="4"/>
      <c r="MY267" s="4"/>
      <c r="MZ267" s="4"/>
      <c r="NA267" s="4"/>
      <c r="NB267" s="4"/>
      <c r="NC267" s="4"/>
      <c r="ND267" s="4"/>
      <c r="NE267" s="4"/>
      <c r="NF267" s="4"/>
      <c r="NG267" s="4"/>
      <c r="NH267" s="4"/>
      <c r="NI267" s="4"/>
      <c r="NJ267" s="4"/>
      <c r="NK267" s="4"/>
      <c r="NL267" s="4"/>
      <c r="NM267" s="4"/>
      <c r="NN267" s="4"/>
      <c r="NO267" s="4"/>
      <c r="NP267" s="4"/>
      <c r="NQ267" s="4"/>
      <c r="NR267" s="4"/>
      <c r="NS267" s="4"/>
      <c r="NT267" s="4"/>
      <c r="NU267" s="4"/>
      <c r="NV267" s="4"/>
      <c r="NW267" s="4"/>
      <c r="NX267" s="4"/>
      <c r="NY267" s="4"/>
      <c r="NZ267" s="4"/>
      <c r="OA267" s="4"/>
      <c r="OB267" s="4"/>
      <c r="OC267" s="4"/>
      <c r="OD267" s="4"/>
      <c r="OE267" s="4"/>
      <c r="OF267" s="4"/>
      <c r="OG267" s="4"/>
      <c r="OH267" s="4"/>
      <c r="OI267" s="4"/>
      <c r="OJ267" s="4"/>
      <c r="OK267" s="4"/>
      <c r="OL267" s="4"/>
      <c r="OM267" s="4"/>
      <c r="ON267" s="4"/>
      <c r="OO267" s="4"/>
      <c r="OP267" s="4"/>
      <c r="OQ267" s="4"/>
      <c r="OR267" s="4"/>
      <c r="OS267" s="4"/>
      <c r="OT267" s="4"/>
      <c r="OU267" s="4"/>
      <c r="OV267" s="4"/>
      <c r="OW267" s="4"/>
      <c r="OX267" s="4"/>
      <c r="OY267" s="4"/>
      <c r="OZ267" s="4"/>
      <c r="PA267" s="4"/>
      <c r="PB267" s="4"/>
      <c r="PC267" s="4"/>
      <c r="PD267" s="4"/>
      <c r="PE267" s="4"/>
      <c r="PF267" s="4"/>
      <c r="PG267" s="4"/>
      <c r="PH267" s="4"/>
      <c r="PI267" s="4"/>
      <c r="PJ267" s="4"/>
      <c r="PK267" s="4"/>
      <c r="PL267" s="4"/>
      <c r="PM267" s="4"/>
      <c r="PN267" s="4"/>
      <c r="PO267" s="4"/>
      <c r="PP267" s="4"/>
      <c r="PQ267" s="4"/>
      <c r="PR267" s="4"/>
      <c r="PS267" s="4"/>
      <c r="PT267" s="4"/>
      <c r="PU267" s="4"/>
      <c r="PV267" s="4"/>
      <c r="PW267" s="4"/>
      <c r="PX267" s="4"/>
      <c r="PY267" s="4"/>
      <c r="PZ267" s="4"/>
      <c r="QA267" s="4"/>
      <c r="QB267" s="4"/>
      <c r="QC267" s="4"/>
      <c r="QD267" s="4"/>
      <c r="QE267" s="4"/>
      <c r="QF267" s="4"/>
      <c r="QG267" s="4"/>
      <c r="QH267" s="4"/>
      <c r="QI267" s="4"/>
      <c r="QJ267" s="4"/>
      <c r="QK267" s="4"/>
      <c r="QL267" s="4"/>
      <c r="QM267" s="4"/>
      <c r="QN267" s="4"/>
      <c r="QO267" s="4"/>
      <c r="QP267" s="4"/>
      <c r="QQ267" s="4"/>
      <c r="QR267" s="4"/>
      <c r="QS267" s="4"/>
      <c r="QT267" s="4"/>
      <c r="QU267" s="4"/>
      <c r="QV267" s="4"/>
      <c r="QW267" s="4"/>
      <c r="QX267" s="4"/>
      <c r="QY267" s="4"/>
      <c r="QZ267" s="4"/>
      <c r="RA267" s="4"/>
      <c r="RB267" s="4"/>
      <c r="RC267" s="4"/>
      <c r="RD267" s="4"/>
      <c r="RE267" s="4"/>
      <c r="RF267" s="4"/>
      <c r="RG267" s="4"/>
      <c r="RH267" s="4"/>
      <c r="RI267" s="4"/>
      <c r="RJ267" s="4"/>
      <c r="RK267" s="4"/>
      <c r="RL267" s="4"/>
      <c r="RM267" s="4"/>
      <c r="RN267" s="4"/>
      <c r="RO267" s="4"/>
      <c r="RP267" s="4"/>
      <c r="RQ267" s="4"/>
      <c r="RR267" s="4"/>
      <c r="RS267" s="4"/>
      <c r="RT267" s="4"/>
      <c r="RU267" s="4"/>
      <c r="RV267" s="4"/>
      <c r="RW267" s="4"/>
      <c r="RX267" s="4"/>
      <c r="RY267" s="4"/>
      <c r="RZ267" s="4"/>
      <c r="SA267" s="4"/>
      <c r="SB267" s="4"/>
      <c r="SC267" s="4"/>
      <c r="SD267" s="4"/>
      <c r="SE267" s="4"/>
      <c r="SF267" s="4"/>
      <c r="SG267" s="4"/>
      <c r="SH267" s="4"/>
      <c r="SI267" s="4"/>
      <c r="SJ267" s="4"/>
      <c r="SK267" s="4"/>
      <c r="SL267" s="4"/>
      <c r="SM267" s="4"/>
      <c r="SN267" s="4"/>
      <c r="SO267" s="4"/>
      <c r="SP267" s="4"/>
      <c r="SQ267" s="4"/>
      <c r="SR267" s="4"/>
      <c r="SS267" s="4"/>
      <c r="ST267" s="4"/>
      <c r="SU267" s="4"/>
      <c r="SV267" s="4"/>
      <c r="SW267" s="4"/>
      <c r="SX267" s="4"/>
      <c r="SY267" s="4"/>
      <c r="SZ267" s="4"/>
      <c r="TA267" s="4"/>
      <c r="TB267" s="4"/>
      <c r="TC267" s="4"/>
      <c r="TD267" s="4"/>
      <c r="TE267" s="4"/>
      <c r="TF267" s="4"/>
      <c r="TG267" s="4"/>
      <c r="TH267" s="4"/>
      <c r="TI267" s="4"/>
      <c r="TJ267" s="4"/>
      <c r="TK267" s="4"/>
      <c r="TL267" s="4"/>
      <c r="TM267" s="4"/>
      <c r="TN267" s="4"/>
      <c r="TO267" s="4"/>
      <c r="TP267" s="4"/>
      <c r="TQ267" s="4"/>
      <c r="TR267" s="4"/>
      <c r="TS267" s="4"/>
      <c r="TT267" s="4"/>
      <c r="TU267" s="4"/>
      <c r="TV267" s="4"/>
      <c r="TW267" s="4"/>
      <c r="TX267" s="4"/>
      <c r="TY267" s="4"/>
      <c r="TZ267" s="4"/>
      <c r="UA267" s="4"/>
      <c r="UB267" s="4"/>
      <c r="UC267" s="4"/>
      <c r="UD267" s="4"/>
      <c r="UE267" s="4"/>
      <c r="UF267" s="4"/>
      <c r="UG267" s="4"/>
      <c r="UH267" s="4"/>
      <c r="UI267" s="4"/>
      <c r="UJ267" s="4"/>
      <c r="UK267" s="4"/>
      <c r="UL267" s="4"/>
      <c r="UM267" s="4"/>
      <c r="UN267" s="4"/>
      <c r="UO267" s="4"/>
      <c r="UP267" s="4"/>
      <c r="UQ267" s="4"/>
      <c r="UR267" s="4"/>
      <c r="US267" s="4"/>
      <c r="UT267" s="4"/>
      <c r="UU267" s="4"/>
      <c r="UV267" s="4"/>
      <c r="UW267" s="4"/>
      <c r="UX267" s="4"/>
      <c r="UY267" s="4"/>
      <c r="UZ267" s="4"/>
      <c r="VA267" s="4"/>
      <c r="VB267" s="4"/>
      <c r="VC267" s="4"/>
      <c r="VD267" s="4"/>
      <c r="VE267" s="4"/>
      <c r="VF267" s="4"/>
      <c r="VG267" s="4"/>
      <c r="VH267" s="4"/>
      <c r="VI267" s="4"/>
      <c r="VJ267" s="4"/>
      <c r="VK267" s="4"/>
      <c r="VL267" s="4"/>
      <c r="VM267" s="4"/>
      <c r="VN267" s="4"/>
      <c r="VO267" s="4"/>
      <c r="VP267" s="4"/>
      <c r="VQ267" s="4"/>
      <c r="VR267" s="4"/>
      <c r="VS267" s="4"/>
      <c r="VT267" s="4"/>
      <c r="VU267" s="4"/>
      <c r="VV267" s="4"/>
      <c r="VW267" s="4"/>
      <c r="VX267" s="4"/>
      <c r="VY267" s="4"/>
      <c r="VZ267" s="4"/>
      <c r="WA267" s="4"/>
      <c r="WB267" s="4"/>
      <c r="WC267" s="4"/>
      <c r="WD267" s="4"/>
      <c r="WE267" s="4"/>
      <c r="WF267" s="4"/>
      <c r="WG267" s="4"/>
      <c r="WH267" s="4"/>
      <c r="WI267" s="4"/>
      <c r="WJ267" s="4"/>
      <c r="WK267" s="4"/>
      <c r="WL267" s="4"/>
      <c r="WM267" s="4"/>
      <c r="WN267" s="4"/>
      <c r="WO267" s="4"/>
      <c r="WP267" s="4"/>
      <c r="WQ267" s="4"/>
      <c r="WR267" s="4"/>
      <c r="WS267" s="4"/>
      <c r="WT267" s="4"/>
      <c r="WU267" s="4"/>
      <c r="WV267" s="4"/>
      <c r="WW267" s="4"/>
      <c r="WX267" s="4"/>
      <c r="WY267" s="4"/>
      <c r="WZ267" s="4"/>
      <c r="XA267" s="4"/>
      <c r="XB267" s="4"/>
      <c r="XC267" s="4"/>
      <c r="XD267" s="4"/>
      <c r="XE267" s="4"/>
      <c r="XF267" s="4"/>
      <c r="XG267" s="4"/>
      <c r="XH267" s="4"/>
      <c r="XI267" s="4"/>
      <c r="XJ267" s="4"/>
      <c r="XK267" s="4"/>
      <c r="XL267" s="4"/>
      <c r="XM267" s="4"/>
      <c r="XN267" s="4"/>
      <c r="XO267" s="4"/>
      <c r="XP267" s="4"/>
      <c r="XQ267" s="4"/>
      <c r="XR267" s="4"/>
      <c r="XS267" s="4"/>
      <c r="XT267" s="4"/>
      <c r="XU267" s="4"/>
      <c r="XV267" s="4"/>
      <c r="XW267" s="4"/>
      <c r="XX267" s="4"/>
      <c r="XY267" s="4"/>
      <c r="XZ267" s="4"/>
      <c r="YA267" s="4"/>
      <c r="YB267" s="4"/>
      <c r="YC267" s="4"/>
      <c r="YD267" s="4"/>
      <c r="YE267" s="4"/>
      <c r="YF267" s="4"/>
      <c r="YG267" s="4"/>
      <c r="YH267" s="4"/>
      <c r="YI267" s="4"/>
      <c r="YJ267" s="4"/>
      <c r="YK267" s="4"/>
      <c r="YL267" s="4"/>
      <c r="YM267" s="4"/>
      <c r="YN267" s="4"/>
      <c r="YO267" s="4"/>
      <c r="YP267" s="4"/>
      <c r="YQ267" s="4"/>
      <c r="YR267" s="4"/>
      <c r="YS267" s="4"/>
      <c r="YT267" s="4"/>
      <c r="YU267" s="4"/>
      <c r="YV267" s="4"/>
      <c r="YW267" s="4"/>
      <c r="YX267" s="4"/>
      <c r="YY267" s="4"/>
      <c r="YZ267" s="4"/>
      <c r="ZA267" s="4"/>
      <c r="ZB267" s="4"/>
      <c r="ZC267" s="4"/>
      <c r="ZD267" s="4"/>
      <c r="ZE267" s="4"/>
      <c r="ZF267" s="4"/>
      <c r="ZG267" s="4"/>
      <c r="ZH267" s="4"/>
      <c r="ZI267" s="4"/>
      <c r="ZJ267" s="4"/>
      <c r="ZK267" s="4"/>
      <c r="ZL267" s="4"/>
      <c r="ZM267" s="4"/>
      <c r="ZN267" s="4"/>
      <c r="ZO267" s="4"/>
      <c r="ZP267" s="4"/>
      <c r="ZQ267" s="4"/>
      <c r="ZR267" s="4"/>
      <c r="ZS267" s="4"/>
      <c r="ZT267" s="4"/>
      <c r="ZU267" s="4"/>
      <c r="ZV267" s="4"/>
      <c r="ZW267" s="4"/>
      <c r="ZX267" s="4"/>
      <c r="ZY267" s="4"/>
      <c r="ZZ267" s="4"/>
      <c r="AAA267" s="4"/>
      <c r="AAB267" s="4"/>
      <c r="AAC267" s="4"/>
      <c r="AAD267" s="4"/>
    </row>
    <row r="268" spans="1:706" ht="37.5" customHeight="1" x14ac:dyDescent="0.15">
      <c r="A268" s="4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  <c r="HI268" s="4"/>
      <c r="HJ268" s="4"/>
      <c r="HK268" s="4"/>
      <c r="HL268" s="4"/>
      <c r="HM268" s="4"/>
      <c r="HN268" s="4"/>
      <c r="HO268" s="4"/>
      <c r="HP268" s="4"/>
      <c r="HQ268" s="4"/>
      <c r="HR268" s="4"/>
      <c r="HS268" s="4"/>
      <c r="HT268" s="4"/>
      <c r="HU268" s="4"/>
      <c r="HV268" s="4"/>
      <c r="HW268" s="4"/>
      <c r="HX268" s="4"/>
      <c r="HY268" s="4"/>
      <c r="HZ268" s="4"/>
      <c r="IA268" s="4"/>
      <c r="IB268" s="4"/>
      <c r="IC268" s="4"/>
      <c r="ID268" s="4"/>
      <c r="IE268" s="4"/>
      <c r="IF268" s="4"/>
      <c r="IG268" s="4"/>
      <c r="IH268" s="4"/>
      <c r="II268" s="4"/>
      <c r="IJ268" s="4"/>
      <c r="IK268" s="4"/>
      <c r="IL268" s="4"/>
      <c r="IM268" s="4"/>
      <c r="IN268" s="4"/>
      <c r="IO268" s="4"/>
      <c r="IP268" s="4"/>
      <c r="IQ268" s="4"/>
      <c r="IR268" s="4"/>
      <c r="IS268" s="4"/>
      <c r="IT268" s="4"/>
      <c r="IU268" s="4"/>
      <c r="IV268" s="4"/>
      <c r="IW268" s="4"/>
      <c r="IX268" s="4"/>
      <c r="IY268" s="4"/>
      <c r="IZ268" s="4"/>
      <c r="JA268" s="4"/>
      <c r="JB268" s="4"/>
      <c r="JC268" s="4"/>
      <c r="JD268" s="4"/>
      <c r="JE268" s="4"/>
      <c r="JF268" s="4"/>
      <c r="JG268" s="4"/>
      <c r="JH268" s="4"/>
      <c r="JI268" s="4"/>
      <c r="JJ268" s="4"/>
      <c r="JK268" s="4"/>
      <c r="JL268" s="4"/>
      <c r="JM268" s="4"/>
      <c r="JN268" s="4"/>
      <c r="JO268" s="4"/>
      <c r="JP268" s="4"/>
      <c r="JQ268" s="4"/>
      <c r="JR268" s="4"/>
      <c r="JS268" s="4"/>
      <c r="JT268" s="4"/>
      <c r="JU268" s="4"/>
      <c r="JV268" s="4"/>
      <c r="JW268" s="4"/>
      <c r="JX268" s="4"/>
      <c r="JY268" s="4"/>
      <c r="JZ268" s="4"/>
      <c r="KA268" s="4"/>
      <c r="KB268" s="4"/>
      <c r="KC268" s="4"/>
      <c r="KD268" s="4"/>
      <c r="KE268" s="4"/>
      <c r="KF268" s="4"/>
      <c r="KG268" s="4"/>
      <c r="KH268" s="4"/>
      <c r="KI268" s="4"/>
      <c r="KJ268" s="4"/>
      <c r="KK268" s="4"/>
      <c r="KL268" s="4"/>
      <c r="KM268" s="4"/>
      <c r="KN268" s="4"/>
      <c r="KO268" s="4"/>
      <c r="KP268" s="4"/>
      <c r="KQ268" s="4"/>
      <c r="KR268" s="4"/>
      <c r="KS268" s="4"/>
      <c r="KT268" s="4"/>
      <c r="KU268" s="4"/>
      <c r="KV268" s="4"/>
      <c r="KW268" s="4"/>
      <c r="KX268" s="4"/>
      <c r="KY268" s="4"/>
      <c r="KZ268" s="4"/>
      <c r="LA268" s="4"/>
      <c r="LB268" s="4"/>
      <c r="LC268" s="4"/>
      <c r="LD268" s="4"/>
      <c r="LE268" s="4"/>
      <c r="LF268" s="4"/>
      <c r="LG268" s="4"/>
      <c r="LH268" s="4"/>
      <c r="LI268" s="4"/>
      <c r="LJ268" s="4"/>
      <c r="LK268" s="4"/>
      <c r="LL268" s="4"/>
      <c r="LM268" s="4"/>
      <c r="LN268" s="4"/>
      <c r="LO268" s="4"/>
      <c r="LP268" s="4"/>
      <c r="LQ268" s="4"/>
      <c r="LR268" s="4"/>
      <c r="LS268" s="4"/>
      <c r="LT268" s="4"/>
      <c r="LU268" s="4"/>
      <c r="LV268" s="4"/>
      <c r="LW268" s="4"/>
      <c r="LX268" s="4"/>
      <c r="LY268" s="4"/>
      <c r="LZ268" s="4"/>
      <c r="MA268" s="4"/>
      <c r="MB268" s="4"/>
      <c r="MC268" s="4"/>
      <c r="MD268" s="4"/>
      <c r="ME268" s="4"/>
      <c r="MF268" s="4"/>
      <c r="MG268" s="4"/>
      <c r="MH268" s="4"/>
      <c r="MI268" s="4"/>
      <c r="MJ268" s="4"/>
      <c r="MK268" s="4"/>
      <c r="ML268" s="4"/>
      <c r="MM268" s="4"/>
      <c r="MN268" s="4"/>
      <c r="MO268" s="4"/>
      <c r="MP268" s="4"/>
      <c r="MQ268" s="4"/>
      <c r="MR268" s="4"/>
      <c r="MS268" s="4"/>
      <c r="MT268" s="4"/>
      <c r="MU268" s="4"/>
      <c r="MV268" s="4"/>
      <c r="MW268" s="4"/>
      <c r="MX268" s="4"/>
      <c r="MY268" s="4"/>
      <c r="MZ268" s="4"/>
      <c r="NA268" s="4"/>
      <c r="NB268" s="4"/>
      <c r="NC268" s="4"/>
      <c r="ND268" s="4"/>
      <c r="NE268" s="4"/>
      <c r="NF268" s="4"/>
      <c r="NG268" s="4"/>
      <c r="NH268" s="4"/>
      <c r="NI268" s="4"/>
      <c r="NJ268" s="4"/>
      <c r="NK268" s="4"/>
      <c r="NL268" s="4"/>
      <c r="NM268" s="4"/>
      <c r="NN268" s="4"/>
      <c r="NO268" s="4"/>
      <c r="NP268" s="4"/>
      <c r="NQ268" s="4"/>
      <c r="NR268" s="4"/>
      <c r="NS268" s="4"/>
      <c r="NT268" s="4"/>
      <c r="NU268" s="4"/>
      <c r="NV268" s="4"/>
      <c r="NW268" s="4"/>
      <c r="NX268" s="4"/>
      <c r="NY268" s="4"/>
      <c r="NZ268" s="4"/>
      <c r="OA268" s="4"/>
      <c r="OB268" s="4"/>
      <c r="OC268" s="4"/>
      <c r="OD268" s="4"/>
      <c r="OE268" s="4"/>
      <c r="OF268" s="4"/>
      <c r="OG268" s="4"/>
      <c r="OH268" s="4"/>
      <c r="OI268" s="4"/>
      <c r="OJ268" s="4"/>
      <c r="OK268" s="4"/>
      <c r="OL268" s="4"/>
      <c r="OM268" s="4"/>
      <c r="ON268" s="4"/>
      <c r="OO268" s="4"/>
      <c r="OP268" s="4"/>
      <c r="OQ268" s="4"/>
      <c r="OR268" s="4"/>
      <c r="OS268" s="4"/>
      <c r="OT268" s="4"/>
      <c r="OU268" s="4"/>
      <c r="OV268" s="4"/>
      <c r="OW268" s="4"/>
      <c r="OX268" s="4"/>
      <c r="OY268" s="4"/>
      <c r="OZ268" s="4"/>
      <c r="PA268" s="4"/>
      <c r="PB268" s="4"/>
      <c r="PC268" s="4"/>
      <c r="PD268" s="4"/>
      <c r="PE268" s="4"/>
      <c r="PF268" s="4"/>
      <c r="PG268" s="4"/>
      <c r="PH268" s="4"/>
      <c r="PI268" s="4"/>
      <c r="PJ268" s="4"/>
      <c r="PK268" s="4"/>
      <c r="PL268" s="4"/>
      <c r="PM268" s="4"/>
      <c r="PN268" s="4"/>
      <c r="PO268" s="4"/>
      <c r="PP268" s="4"/>
      <c r="PQ268" s="4"/>
      <c r="PR268" s="4"/>
      <c r="PS268" s="4"/>
      <c r="PT268" s="4"/>
      <c r="PU268" s="4"/>
      <c r="PV268" s="4"/>
      <c r="PW268" s="4"/>
      <c r="PX268" s="4"/>
      <c r="PY268" s="4"/>
      <c r="PZ268" s="4"/>
      <c r="QA268" s="4"/>
      <c r="QB268" s="4"/>
      <c r="QC268" s="4"/>
      <c r="QD268" s="4"/>
      <c r="QE268" s="4"/>
      <c r="QF268" s="4"/>
      <c r="QG268" s="4"/>
      <c r="QH268" s="4"/>
      <c r="QI268" s="4"/>
      <c r="QJ268" s="4"/>
      <c r="QK268" s="4"/>
      <c r="QL268" s="4"/>
      <c r="QM268" s="4"/>
      <c r="QN268" s="4"/>
      <c r="QO268" s="4"/>
      <c r="QP268" s="4"/>
      <c r="QQ268" s="4"/>
      <c r="QR268" s="4"/>
      <c r="QS268" s="4"/>
      <c r="QT268" s="4"/>
      <c r="QU268" s="4"/>
      <c r="QV268" s="4"/>
      <c r="QW268" s="4"/>
      <c r="QX268" s="4"/>
      <c r="QY268" s="4"/>
      <c r="QZ268" s="4"/>
      <c r="RA268" s="4"/>
      <c r="RB268" s="4"/>
      <c r="RC268" s="4"/>
      <c r="RD268" s="4"/>
      <c r="RE268" s="4"/>
      <c r="RF268" s="4"/>
      <c r="RG268" s="4"/>
      <c r="RH268" s="4"/>
      <c r="RI268" s="4"/>
      <c r="RJ268" s="4"/>
      <c r="RK268" s="4"/>
      <c r="RL268" s="4"/>
      <c r="RM268" s="4"/>
      <c r="RN268" s="4"/>
      <c r="RO268" s="4"/>
      <c r="RP268" s="4"/>
      <c r="RQ268" s="4"/>
      <c r="RR268" s="4"/>
      <c r="RS268" s="4"/>
      <c r="RT268" s="4"/>
      <c r="RU268" s="4"/>
      <c r="RV268" s="4"/>
      <c r="RW268" s="4"/>
      <c r="RX268" s="4"/>
      <c r="RY268" s="4"/>
      <c r="RZ268" s="4"/>
      <c r="SA268" s="4"/>
      <c r="SB268" s="4"/>
      <c r="SC268" s="4"/>
      <c r="SD268" s="4"/>
      <c r="SE268" s="4"/>
      <c r="SF268" s="4"/>
      <c r="SG268" s="4"/>
      <c r="SH268" s="4"/>
      <c r="SI268" s="4"/>
      <c r="SJ268" s="4"/>
      <c r="SK268" s="4"/>
      <c r="SL268" s="4"/>
      <c r="SM268" s="4"/>
      <c r="SN268" s="4"/>
      <c r="SO268" s="4"/>
      <c r="SP268" s="4"/>
      <c r="SQ268" s="4"/>
      <c r="SR268" s="4"/>
      <c r="SS268" s="4"/>
      <c r="ST268" s="4"/>
      <c r="SU268" s="4"/>
      <c r="SV268" s="4"/>
      <c r="SW268" s="4"/>
      <c r="SX268" s="4"/>
      <c r="SY268" s="4"/>
      <c r="SZ268" s="4"/>
      <c r="TA268" s="4"/>
      <c r="TB268" s="4"/>
      <c r="TC268" s="4"/>
      <c r="TD268" s="4"/>
      <c r="TE268" s="4"/>
      <c r="TF268" s="4"/>
      <c r="TG268" s="4"/>
      <c r="TH268" s="4"/>
      <c r="TI268" s="4"/>
      <c r="TJ268" s="4"/>
      <c r="TK268" s="4"/>
      <c r="TL268" s="4"/>
      <c r="TM268" s="4"/>
      <c r="TN268" s="4"/>
      <c r="TO268" s="4"/>
      <c r="TP268" s="4"/>
      <c r="TQ268" s="4"/>
      <c r="TR268" s="4"/>
      <c r="TS268" s="4"/>
      <c r="TT268" s="4"/>
      <c r="TU268" s="4"/>
      <c r="TV268" s="4"/>
      <c r="TW268" s="4"/>
      <c r="TX268" s="4"/>
      <c r="TY268" s="4"/>
      <c r="TZ268" s="4"/>
      <c r="UA268" s="4"/>
      <c r="UB268" s="4"/>
      <c r="UC268" s="4"/>
      <c r="UD268" s="4"/>
      <c r="UE268" s="4"/>
      <c r="UF268" s="4"/>
      <c r="UG268" s="4"/>
      <c r="UH268" s="4"/>
      <c r="UI268" s="4"/>
      <c r="UJ268" s="4"/>
      <c r="UK268" s="4"/>
      <c r="UL268" s="4"/>
      <c r="UM268" s="4"/>
      <c r="UN268" s="4"/>
      <c r="UO268" s="4"/>
      <c r="UP268" s="4"/>
      <c r="UQ268" s="4"/>
      <c r="UR268" s="4"/>
      <c r="US268" s="4"/>
      <c r="UT268" s="4"/>
      <c r="UU268" s="4"/>
      <c r="UV268" s="4"/>
      <c r="UW268" s="4"/>
      <c r="UX268" s="4"/>
      <c r="UY268" s="4"/>
      <c r="UZ268" s="4"/>
      <c r="VA268" s="4"/>
      <c r="VB268" s="4"/>
      <c r="VC268" s="4"/>
      <c r="VD268" s="4"/>
      <c r="VE268" s="4"/>
      <c r="VF268" s="4"/>
      <c r="VG268" s="4"/>
      <c r="VH268" s="4"/>
      <c r="VI268" s="4"/>
      <c r="VJ268" s="4"/>
      <c r="VK268" s="4"/>
      <c r="VL268" s="4"/>
      <c r="VM268" s="4"/>
      <c r="VN268" s="4"/>
      <c r="VO268" s="4"/>
      <c r="VP268" s="4"/>
      <c r="VQ268" s="4"/>
      <c r="VR268" s="4"/>
      <c r="VS268" s="4"/>
      <c r="VT268" s="4"/>
      <c r="VU268" s="4"/>
      <c r="VV268" s="4"/>
      <c r="VW268" s="4"/>
      <c r="VX268" s="4"/>
      <c r="VY268" s="4"/>
      <c r="VZ268" s="4"/>
      <c r="WA268" s="4"/>
      <c r="WB268" s="4"/>
      <c r="WC268" s="4"/>
      <c r="WD268" s="4"/>
      <c r="WE268" s="4"/>
      <c r="WF268" s="4"/>
      <c r="WG268" s="4"/>
      <c r="WH268" s="4"/>
      <c r="WI268" s="4"/>
      <c r="WJ268" s="4"/>
      <c r="WK268" s="4"/>
      <c r="WL268" s="4"/>
      <c r="WM268" s="4"/>
      <c r="WN268" s="4"/>
      <c r="WO268" s="4"/>
      <c r="WP268" s="4"/>
      <c r="WQ268" s="4"/>
      <c r="WR268" s="4"/>
      <c r="WS268" s="4"/>
      <c r="WT268" s="4"/>
      <c r="WU268" s="4"/>
      <c r="WV268" s="4"/>
      <c r="WW268" s="4"/>
      <c r="WX268" s="4"/>
      <c r="WY268" s="4"/>
      <c r="WZ268" s="4"/>
      <c r="XA268" s="4"/>
      <c r="XB268" s="4"/>
      <c r="XC268" s="4"/>
      <c r="XD268" s="4"/>
      <c r="XE268" s="4"/>
      <c r="XF268" s="4"/>
      <c r="XG268" s="4"/>
      <c r="XH268" s="4"/>
      <c r="XI268" s="4"/>
      <c r="XJ268" s="4"/>
      <c r="XK268" s="4"/>
      <c r="XL268" s="4"/>
      <c r="XM268" s="4"/>
      <c r="XN268" s="4"/>
      <c r="XO268" s="4"/>
      <c r="XP268" s="4"/>
      <c r="XQ268" s="4"/>
      <c r="XR268" s="4"/>
      <c r="XS268" s="4"/>
      <c r="XT268" s="4"/>
      <c r="XU268" s="4"/>
      <c r="XV268" s="4"/>
      <c r="XW268" s="4"/>
      <c r="XX268" s="4"/>
      <c r="XY268" s="4"/>
      <c r="XZ268" s="4"/>
      <c r="YA268" s="4"/>
      <c r="YB268" s="4"/>
      <c r="YC268" s="4"/>
      <c r="YD268" s="4"/>
      <c r="YE268" s="4"/>
      <c r="YF268" s="4"/>
      <c r="YG268" s="4"/>
      <c r="YH268" s="4"/>
      <c r="YI268" s="4"/>
      <c r="YJ268" s="4"/>
      <c r="YK268" s="4"/>
      <c r="YL268" s="4"/>
      <c r="YM268" s="4"/>
      <c r="YN268" s="4"/>
      <c r="YO268" s="4"/>
      <c r="YP268" s="4"/>
      <c r="YQ268" s="4"/>
      <c r="YR268" s="4"/>
      <c r="YS268" s="4"/>
      <c r="YT268" s="4"/>
      <c r="YU268" s="4"/>
      <c r="YV268" s="4"/>
      <c r="YW268" s="4"/>
      <c r="YX268" s="4"/>
      <c r="YY268" s="4"/>
      <c r="YZ268" s="4"/>
      <c r="ZA268" s="4"/>
      <c r="ZB268" s="4"/>
      <c r="ZC268" s="4"/>
      <c r="ZD268" s="4"/>
      <c r="ZE268" s="4"/>
      <c r="ZF268" s="4"/>
      <c r="ZG268" s="4"/>
      <c r="ZH268" s="4"/>
      <c r="ZI268" s="4"/>
      <c r="ZJ268" s="4"/>
      <c r="ZK268" s="4"/>
      <c r="ZL268" s="4"/>
      <c r="ZM268" s="4"/>
      <c r="ZN268" s="4"/>
      <c r="ZO268" s="4"/>
      <c r="ZP268" s="4"/>
      <c r="ZQ268" s="4"/>
      <c r="ZR268" s="4"/>
      <c r="ZS268" s="4"/>
      <c r="ZT268" s="4"/>
      <c r="ZU268" s="4"/>
      <c r="ZV268" s="4"/>
      <c r="ZW268" s="4"/>
      <c r="ZX268" s="4"/>
      <c r="ZY268" s="4"/>
      <c r="ZZ268" s="4"/>
      <c r="AAA268" s="4"/>
      <c r="AAB268" s="4"/>
      <c r="AAC268" s="4"/>
      <c r="AAD268" s="4"/>
    </row>
    <row r="269" spans="1:706" ht="4.5" customHeight="1" x14ac:dyDescent="0.15"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  <c r="AL269" s="76"/>
      <c r="AM269" s="76"/>
      <c r="AN269" s="76"/>
      <c r="AO269" s="76"/>
      <c r="AP269" s="76"/>
      <c r="AQ269" s="76"/>
      <c r="AR269" s="76"/>
      <c r="AS269" s="76"/>
      <c r="AT269" s="76"/>
      <c r="AU269" s="76"/>
      <c r="AV269" s="76"/>
      <c r="AW269" s="76"/>
      <c r="AX269" s="76"/>
      <c r="AY269" s="76"/>
      <c r="AZ269" s="76"/>
      <c r="BA269" s="76"/>
      <c r="BB269" s="76"/>
      <c r="BC269" s="76"/>
      <c r="BD269" s="76"/>
      <c r="BE269" s="76"/>
      <c r="BF269" s="76"/>
      <c r="BG269" s="76"/>
      <c r="BH269" s="76"/>
      <c r="BI269" s="76"/>
      <c r="BJ269" s="76"/>
      <c r="BK269" s="76"/>
      <c r="BL269" s="76"/>
      <c r="BM269" s="76"/>
      <c r="BN269" s="76"/>
      <c r="BO269" s="76"/>
      <c r="BP269" s="76"/>
      <c r="BQ269" s="76"/>
      <c r="BR269" s="76"/>
      <c r="BS269" s="76"/>
      <c r="BT269" s="76"/>
      <c r="BU269" s="76"/>
      <c r="BV269" s="76"/>
      <c r="BW269" s="76"/>
      <c r="BX269" s="76"/>
      <c r="BY269" s="76"/>
      <c r="BZ269" s="76"/>
      <c r="CA269" s="76"/>
      <c r="CB269" s="76"/>
      <c r="CC269" s="76"/>
      <c r="CD269" s="76"/>
      <c r="CE269" s="76"/>
      <c r="CF269" s="76"/>
      <c r="CG269" s="76"/>
      <c r="CH269" s="76"/>
      <c r="CI269" s="76"/>
      <c r="CJ269" s="76"/>
      <c r="CK269" s="76"/>
      <c r="CL269" s="76"/>
      <c r="CM269" s="76"/>
      <c r="CN269" s="76"/>
      <c r="CO269" s="76"/>
      <c r="CP269" s="76"/>
      <c r="CQ269" s="76"/>
      <c r="CR269" s="76"/>
      <c r="CS269" s="76"/>
      <c r="CT269" s="76"/>
      <c r="CU269" s="76"/>
      <c r="CV269" s="76"/>
      <c r="CW269" s="76"/>
      <c r="CX269" s="76"/>
      <c r="CY269" s="76"/>
      <c r="CZ269" s="76"/>
      <c r="DA269" s="76"/>
      <c r="DB269" s="76"/>
      <c r="DC269" s="76"/>
      <c r="DD269" s="76"/>
      <c r="DE269" s="76"/>
      <c r="DF269" s="76"/>
      <c r="DG269" s="76"/>
      <c r="DH269" s="76"/>
      <c r="DI269" s="76"/>
      <c r="DJ269" s="76"/>
      <c r="DK269" s="76"/>
      <c r="DL269" s="76"/>
      <c r="DM269" s="76"/>
    </row>
    <row r="270" spans="1:706" ht="15" customHeight="1" x14ac:dyDescent="0.15">
      <c r="A270" s="13"/>
      <c r="B270" s="21"/>
      <c r="C270" s="22"/>
      <c r="D270" s="22"/>
      <c r="E270" s="22"/>
      <c r="F270" s="195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  <c r="AE270" s="106"/>
      <c r="AF270" s="106"/>
      <c r="AG270" s="106"/>
      <c r="AH270" s="106"/>
      <c r="AI270" s="106"/>
      <c r="AJ270" s="106"/>
      <c r="AK270" s="106"/>
      <c r="AL270" s="106"/>
      <c r="AM270" s="106"/>
      <c r="AN270" s="106"/>
      <c r="AO270" s="106"/>
      <c r="AP270" s="106"/>
      <c r="AQ270" s="106"/>
      <c r="AR270" s="106"/>
      <c r="AS270" s="106"/>
      <c r="AT270" s="106"/>
      <c r="AU270" s="106"/>
      <c r="AV270" s="106"/>
      <c r="AW270" s="106"/>
      <c r="AX270" s="106"/>
      <c r="AY270" s="106"/>
      <c r="AZ270" s="106"/>
      <c r="BA270" s="106"/>
      <c r="BB270" s="106"/>
      <c r="BC270" s="106"/>
      <c r="BD270" s="106"/>
      <c r="BE270" s="106"/>
      <c r="BF270" s="106"/>
      <c r="BG270" s="106"/>
      <c r="BH270" s="106"/>
      <c r="BI270" s="106"/>
      <c r="BJ270" s="106"/>
      <c r="BK270" s="106"/>
      <c r="BL270" s="106"/>
      <c r="BM270" s="106"/>
      <c r="BN270" s="106"/>
      <c r="BO270" s="106"/>
      <c r="BP270" s="106"/>
      <c r="BQ270" s="106"/>
      <c r="BR270" s="106"/>
      <c r="BS270" s="106"/>
      <c r="BT270" s="106"/>
      <c r="BU270" s="106"/>
      <c r="BV270" s="106"/>
      <c r="BW270" s="106"/>
      <c r="BX270" s="106"/>
      <c r="BY270" s="106"/>
      <c r="BZ270" s="106"/>
      <c r="CA270" s="106"/>
      <c r="CB270" s="106"/>
      <c r="CC270" s="106"/>
      <c r="CD270" s="106"/>
      <c r="CE270" s="106"/>
      <c r="CF270" s="106"/>
      <c r="CG270" s="106"/>
      <c r="CH270" s="106"/>
      <c r="CI270" s="106"/>
      <c r="CJ270" s="106"/>
      <c r="CK270" s="106"/>
      <c r="CL270" s="106"/>
      <c r="CM270" s="106"/>
      <c r="CN270" s="106"/>
      <c r="CO270" s="106"/>
      <c r="CP270" s="106"/>
      <c r="CQ270" s="106"/>
      <c r="CR270" s="106"/>
      <c r="CS270" s="106"/>
      <c r="CT270" s="106"/>
      <c r="CU270" s="106"/>
      <c r="CV270" s="106"/>
      <c r="CW270" s="106"/>
      <c r="CX270" s="106"/>
      <c r="CY270" s="106"/>
      <c r="CZ270" s="106"/>
      <c r="DA270" s="106"/>
      <c r="DB270" s="106"/>
      <c r="DC270" s="106"/>
      <c r="DD270" s="106"/>
      <c r="DE270" s="106"/>
      <c r="DF270" s="106"/>
      <c r="DG270" s="106"/>
      <c r="DH270" s="106"/>
      <c r="DI270" s="106"/>
      <c r="DJ270" s="107"/>
      <c r="DK270" s="22"/>
      <c r="DL270" s="22"/>
      <c r="DM270" s="22"/>
      <c r="DN270" s="13"/>
      <c r="DO270" s="24"/>
    </row>
    <row r="271" spans="1:706" ht="4.5" customHeight="1" x14ac:dyDescent="0.15">
      <c r="A271" s="13"/>
      <c r="B271" s="21"/>
      <c r="C271" s="22"/>
      <c r="D271" s="22"/>
      <c r="E271" s="22"/>
      <c r="F271" s="89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  <c r="AA271" s="90"/>
      <c r="AB271" s="90"/>
      <c r="AC271" s="90"/>
      <c r="AD271" s="90"/>
      <c r="AE271" s="90"/>
      <c r="AF271" s="90"/>
      <c r="AG271" s="90"/>
      <c r="AH271" s="90"/>
      <c r="AI271" s="90"/>
      <c r="AJ271" s="90"/>
      <c r="AK271" s="90"/>
      <c r="AL271" s="90"/>
      <c r="AM271" s="90"/>
      <c r="AN271" s="90"/>
      <c r="AO271" s="90"/>
      <c r="AP271" s="90"/>
      <c r="AQ271" s="90"/>
      <c r="AR271" s="90"/>
      <c r="AS271" s="90"/>
      <c r="AT271" s="90"/>
      <c r="AU271" s="90"/>
      <c r="AV271" s="90"/>
      <c r="AW271" s="90"/>
      <c r="AX271" s="90"/>
      <c r="AY271" s="90"/>
      <c r="AZ271" s="90"/>
      <c r="BA271" s="90"/>
      <c r="BB271" s="90"/>
      <c r="BC271" s="90"/>
      <c r="BD271" s="90"/>
      <c r="BE271" s="90"/>
      <c r="BF271" s="90"/>
      <c r="BG271" s="90"/>
      <c r="BH271" s="90"/>
      <c r="BI271" s="90"/>
      <c r="BJ271" s="90"/>
      <c r="BK271" s="90"/>
      <c r="BL271" s="90"/>
      <c r="BM271" s="90"/>
      <c r="BN271" s="90"/>
      <c r="BO271" s="90"/>
      <c r="BP271" s="90"/>
      <c r="BQ271" s="90"/>
      <c r="BR271" s="90"/>
      <c r="BS271" s="90"/>
      <c r="BT271" s="90"/>
      <c r="BU271" s="90"/>
      <c r="BV271" s="90"/>
      <c r="BW271" s="90"/>
      <c r="BX271" s="90"/>
      <c r="BY271" s="90"/>
      <c r="BZ271" s="90"/>
      <c r="CA271" s="90"/>
      <c r="CB271" s="90"/>
      <c r="CC271" s="90"/>
      <c r="CD271" s="90"/>
      <c r="CE271" s="90"/>
      <c r="CF271" s="90"/>
      <c r="CG271" s="90"/>
      <c r="CH271" s="90"/>
      <c r="CI271" s="90"/>
      <c r="CJ271" s="90"/>
      <c r="CK271" s="90"/>
      <c r="CL271" s="90"/>
      <c r="CM271" s="90"/>
      <c r="CN271" s="90"/>
      <c r="CO271" s="90"/>
      <c r="CP271" s="90"/>
      <c r="CQ271" s="90"/>
      <c r="CR271" s="90"/>
      <c r="CS271" s="90"/>
      <c r="CT271" s="90"/>
      <c r="CU271" s="90"/>
      <c r="CV271" s="90"/>
      <c r="CW271" s="90"/>
      <c r="CX271" s="90"/>
      <c r="CY271" s="90"/>
      <c r="CZ271" s="90"/>
      <c r="DA271" s="90"/>
      <c r="DB271" s="90"/>
      <c r="DC271" s="90"/>
      <c r="DD271" s="90"/>
      <c r="DE271" s="90"/>
      <c r="DF271" s="90"/>
      <c r="DG271" s="90"/>
      <c r="DH271" s="90"/>
      <c r="DI271" s="90"/>
      <c r="DJ271" s="91"/>
      <c r="DK271" s="22"/>
      <c r="DL271" s="22"/>
      <c r="DM271" s="22"/>
      <c r="DN271" s="13"/>
      <c r="DO271" s="24"/>
    </row>
    <row r="272" spans="1:706" ht="37.5" customHeight="1" x14ac:dyDescent="0.15">
      <c r="A272" s="13"/>
      <c r="B272" s="21"/>
      <c r="C272" s="22"/>
      <c r="D272" s="22"/>
      <c r="E272" s="27"/>
      <c r="F272" s="92"/>
      <c r="G272" s="196" t="s">
        <v>148</v>
      </c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7"/>
      <c r="AB272" s="76"/>
      <c r="AC272" s="196" t="s">
        <v>149</v>
      </c>
      <c r="AD272" s="106"/>
      <c r="AE272" s="106"/>
      <c r="AF272" s="106"/>
      <c r="AG272" s="106"/>
      <c r="AH272" s="106"/>
      <c r="AI272" s="106"/>
      <c r="AJ272" s="106"/>
      <c r="AK272" s="106"/>
      <c r="AL272" s="106"/>
      <c r="AM272" s="106"/>
      <c r="AN272" s="106"/>
      <c r="AO272" s="106"/>
      <c r="AP272" s="106"/>
      <c r="AQ272" s="106"/>
      <c r="AR272" s="106"/>
      <c r="AS272" s="106"/>
      <c r="AT272" s="106"/>
      <c r="AU272" s="106"/>
      <c r="AV272" s="106"/>
      <c r="AW272" s="107"/>
      <c r="AX272" s="76"/>
      <c r="AY272" s="196" t="s">
        <v>150</v>
      </c>
      <c r="AZ272" s="106"/>
      <c r="BA272" s="106"/>
      <c r="BB272" s="106"/>
      <c r="BC272" s="106"/>
      <c r="BD272" s="106"/>
      <c r="BE272" s="106"/>
      <c r="BF272" s="106"/>
      <c r="BG272" s="106"/>
      <c r="BH272" s="106"/>
      <c r="BI272" s="106"/>
      <c r="BJ272" s="106"/>
      <c r="BK272" s="106"/>
      <c r="BL272" s="106"/>
      <c r="BM272" s="106"/>
      <c r="BN272" s="106"/>
      <c r="BO272" s="106"/>
      <c r="BP272" s="106"/>
      <c r="BQ272" s="106"/>
      <c r="BR272" s="107"/>
      <c r="BS272" s="76"/>
      <c r="BT272" s="196" t="s">
        <v>151</v>
      </c>
      <c r="BU272" s="106"/>
      <c r="BV272" s="106"/>
      <c r="BW272" s="106"/>
      <c r="BX272" s="106"/>
      <c r="BY272" s="106"/>
      <c r="BZ272" s="106"/>
      <c r="CA272" s="106"/>
      <c r="CB272" s="106"/>
      <c r="CC272" s="106"/>
      <c r="CD272" s="106"/>
      <c r="CE272" s="106"/>
      <c r="CF272" s="106"/>
      <c r="CG272" s="106"/>
      <c r="CH272" s="106"/>
      <c r="CI272" s="106"/>
      <c r="CJ272" s="106"/>
      <c r="CK272" s="106"/>
      <c r="CL272" s="106"/>
      <c r="CM272" s="106"/>
      <c r="CN272" s="107"/>
      <c r="CO272" s="76"/>
      <c r="CP272" s="196" t="s">
        <v>152</v>
      </c>
      <c r="CQ272" s="106"/>
      <c r="CR272" s="106"/>
      <c r="CS272" s="106"/>
      <c r="CT272" s="106"/>
      <c r="CU272" s="106"/>
      <c r="CV272" s="106"/>
      <c r="CW272" s="106"/>
      <c r="CX272" s="106"/>
      <c r="CY272" s="106"/>
      <c r="CZ272" s="106"/>
      <c r="DA272" s="106"/>
      <c r="DB272" s="106"/>
      <c r="DC272" s="106"/>
      <c r="DD272" s="106"/>
      <c r="DE272" s="106"/>
      <c r="DF272" s="106"/>
      <c r="DG272" s="106"/>
      <c r="DH272" s="106"/>
      <c r="DI272" s="107"/>
      <c r="DJ272" s="93"/>
      <c r="DK272" s="27"/>
      <c r="DL272" s="22"/>
      <c r="DM272" s="22"/>
      <c r="DN272" s="13"/>
      <c r="DO272" s="24"/>
    </row>
    <row r="273" spans="1:119" ht="4.5" customHeight="1" x14ac:dyDescent="0.15">
      <c r="A273" s="13"/>
      <c r="B273" s="21"/>
      <c r="C273" s="22"/>
      <c r="D273" s="22"/>
      <c r="E273" s="22"/>
      <c r="F273" s="94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  <c r="AF273" s="95"/>
      <c r="AG273" s="95"/>
      <c r="AH273" s="95"/>
      <c r="AI273" s="95"/>
      <c r="AJ273" s="95"/>
      <c r="AK273" s="95"/>
      <c r="AL273" s="95"/>
      <c r="AM273" s="95"/>
      <c r="AN273" s="95"/>
      <c r="AO273" s="95"/>
      <c r="AP273" s="95"/>
      <c r="AQ273" s="95"/>
      <c r="AR273" s="95"/>
      <c r="AS273" s="95"/>
      <c r="AT273" s="95"/>
      <c r="AU273" s="95"/>
      <c r="AV273" s="95"/>
      <c r="AW273" s="95"/>
      <c r="AX273" s="95"/>
      <c r="AY273" s="95"/>
      <c r="AZ273" s="95"/>
      <c r="BA273" s="95"/>
      <c r="BB273" s="95"/>
      <c r="BC273" s="95"/>
      <c r="BD273" s="95"/>
      <c r="BE273" s="95"/>
      <c r="BF273" s="95"/>
      <c r="BG273" s="95"/>
      <c r="BH273" s="95"/>
      <c r="BI273" s="95"/>
      <c r="BJ273" s="95"/>
      <c r="BK273" s="95"/>
      <c r="BL273" s="95"/>
      <c r="BM273" s="95"/>
      <c r="BN273" s="95"/>
      <c r="BO273" s="95"/>
      <c r="BP273" s="95"/>
      <c r="BQ273" s="95"/>
      <c r="BR273" s="95"/>
      <c r="BS273" s="95"/>
      <c r="BT273" s="95"/>
      <c r="BU273" s="95"/>
      <c r="BV273" s="95"/>
      <c r="BW273" s="95"/>
      <c r="BX273" s="95"/>
      <c r="BY273" s="95"/>
      <c r="BZ273" s="95"/>
      <c r="CA273" s="95"/>
      <c r="CB273" s="95"/>
      <c r="CC273" s="95"/>
      <c r="CD273" s="95"/>
      <c r="CE273" s="95"/>
      <c r="CF273" s="95"/>
      <c r="CG273" s="95"/>
      <c r="CH273" s="95"/>
      <c r="CI273" s="95"/>
      <c r="CJ273" s="95"/>
      <c r="CK273" s="95"/>
      <c r="CL273" s="95"/>
      <c r="CM273" s="95"/>
      <c r="CN273" s="95"/>
      <c r="CO273" s="95"/>
      <c r="CP273" s="95"/>
      <c r="CQ273" s="95"/>
      <c r="CR273" s="95"/>
      <c r="CS273" s="95"/>
      <c r="CT273" s="95"/>
      <c r="CU273" s="95"/>
      <c r="CV273" s="95"/>
      <c r="CW273" s="95"/>
      <c r="CX273" s="95"/>
      <c r="CY273" s="95"/>
      <c r="CZ273" s="95"/>
      <c r="DA273" s="95"/>
      <c r="DB273" s="95"/>
      <c r="DC273" s="95"/>
      <c r="DD273" s="95"/>
      <c r="DE273" s="95"/>
      <c r="DF273" s="95"/>
      <c r="DG273" s="95"/>
      <c r="DH273" s="95"/>
      <c r="DI273" s="95"/>
      <c r="DJ273" s="96"/>
      <c r="DK273" s="22"/>
      <c r="DL273" s="22"/>
      <c r="DM273" s="22"/>
      <c r="DN273" s="13"/>
      <c r="DO273" s="24"/>
    </row>
    <row r="274" spans="1:119" ht="15" customHeight="1" x14ac:dyDescent="0.15">
      <c r="A274" s="13"/>
      <c r="B274" s="21"/>
      <c r="C274" s="22"/>
      <c r="D274" s="22"/>
      <c r="E274" s="22"/>
      <c r="F274" s="88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76"/>
      <c r="AL274" s="76"/>
      <c r="AM274" s="76"/>
      <c r="AN274" s="76"/>
      <c r="AO274" s="76"/>
      <c r="AP274" s="76"/>
      <c r="AQ274" s="76"/>
      <c r="AR274" s="76"/>
      <c r="AS274" s="76"/>
      <c r="AT274" s="76"/>
      <c r="AU274" s="76"/>
      <c r="AV274" s="76"/>
      <c r="AW274" s="76"/>
      <c r="AX274" s="76"/>
      <c r="AY274" s="76"/>
      <c r="AZ274" s="76"/>
      <c r="BA274" s="76"/>
      <c r="BB274" s="76"/>
      <c r="BC274" s="76"/>
      <c r="BD274" s="76"/>
      <c r="BE274" s="76"/>
      <c r="BF274" s="76"/>
      <c r="BG274" s="76"/>
      <c r="BH274" s="76"/>
      <c r="BI274" s="76"/>
      <c r="BJ274" s="76"/>
      <c r="BK274" s="76"/>
      <c r="BL274" s="76"/>
      <c r="BM274" s="76"/>
      <c r="BN274" s="76"/>
      <c r="BO274" s="76"/>
      <c r="BP274" s="76"/>
      <c r="BQ274" s="76"/>
      <c r="BR274" s="76"/>
      <c r="BS274" s="76"/>
      <c r="BT274" s="76"/>
      <c r="BU274" s="76"/>
      <c r="BV274" s="76"/>
      <c r="BW274" s="76"/>
      <c r="BX274" s="76"/>
      <c r="BY274" s="76"/>
      <c r="BZ274" s="76"/>
      <c r="CA274" s="76"/>
      <c r="CB274" s="76"/>
      <c r="CC274" s="76"/>
      <c r="CD274" s="76"/>
      <c r="CE274" s="76"/>
      <c r="CF274" s="76"/>
      <c r="CG274" s="76"/>
      <c r="CH274" s="76"/>
      <c r="CI274" s="76"/>
      <c r="CJ274" s="76"/>
      <c r="CK274" s="76"/>
      <c r="CL274" s="76"/>
      <c r="CM274" s="76"/>
      <c r="CN274" s="76"/>
      <c r="CO274" s="76"/>
      <c r="CP274" s="76"/>
      <c r="CQ274" s="76"/>
      <c r="CR274" s="76"/>
      <c r="CS274" s="76"/>
      <c r="CT274" s="76"/>
      <c r="CU274" s="76"/>
      <c r="CV274" s="76"/>
      <c r="CW274" s="76"/>
      <c r="CX274" s="76"/>
      <c r="CY274" s="76"/>
      <c r="CZ274" s="76"/>
      <c r="DA274" s="76"/>
      <c r="DB274" s="76"/>
      <c r="DC274" s="76"/>
      <c r="DD274" s="76"/>
      <c r="DE274" s="76"/>
      <c r="DF274" s="76"/>
      <c r="DG274" s="76"/>
      <c r="DH274" s="76"/>
      <c r="DI274" s="76"/>
      <c r="DJ274" s="22"/>
      <c r="DK274" s="22"/>
      <c r="DL274" s="22"/>
      <c r="DM274" s="22"/>
      <c r="DN274" s="13"/>
      <c r="DO274" s="24"/>
    </row>
    <row r="275" spans="1:119" ht="4.5" customHeight="1" x14ac:dyDescent="0.15">
      <c r="DN275" s="13"/>
    </row>
    <row r="276" spans="1:119" ht="4.5" customHeight="1" x14ac:dyDescent="0.15">
      <c r="DN276" s="13"/>
    </row>
    <row r="277" spans="1:119" ht="4.5" customHeight="1" x14ac:dyDescent="0.15">
      <c r="DN277" s="13"/>
    </row>
    <row r="278" spans="1:119" ht="4.5" customHeight="1" x14ac:dyDescent="0.15">
      <c r="A278" s="1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  <c r="DI278" s="23"/>
      <c r="DJ278" s="23"/>
      <c r="DK278" s="23"/>
      <c r="DL278" s="23"/>
      <c r="DM278" s="23"/>
      <c r="DN278" s="13"/>
      <c r="DO278" s="24"/>
    </row>
    <row r="279" spans="1:119" ht="19.5" customHeight="1" x14ac:dyDescent="0.15">
      <c r="A279" s="13"/>
      <c r="C279" s="105" t="s">
        <v>153</v>
      </c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7"/>
      <c r="P279" s="192" t="str">
        <f>IF($V$18="","",$V$18)</f>
        <v/>
      </c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8"/>
      <c r="AH279" s="118"/>
      <c r="AI279" s="118"/>
      <c r="AJ279" s="118"/>
      <c r="AK279" s="118"/>
      <c r="AL279" s="118"/>
      <c r="AM279" s="118"/>
      <c r="AN279" s="118"/>
      <c r="AO279" s="118"/>
      <c r="AP279" s="118"/>
      <c r="AQ279" s="118"/>
      <c r="AR279" s="118"/>
      <c r="AS279" s="118"/>
      <c r="AT279" s="118"/>
      <c r="AU279" s="118"/>
      <c r="AV279" s="23"/>
      <c r="AX279" s="105" t="s">
        <v>154</v>
      </c>
      <c r="AY279" s="106"/>
      <c r="AZ279" s="106"/>
      <c r="BA279" s="106"/>
      <c r="BB279" s="106"/>
      <c r="BC279" s="106"/>
      <c r="BD279" s="106"/>
      <c r="BE279" s="106"/>
      <c r="BF279" s="106"/>
      <c r="BG279" s="106"/>
      <c r="BH279" s="106"/>
      <c r="BI279" s="106"/>
      <c r="BJ279" s="107"/>
      <c r="BK279" s="193" t="str">
        <f>IF($CH$22="","",$CH$22)</f>
        <v/>
      </c>
      <c r="BL279" s="118"/>
      <c r="BM279" s="118"/>
      <c r="BN279" s="118"/>
      <c r="BO279" s="118"/>
      <c r="BP279" s="118"/>
      <c r="BQ279" s="118"/>
      <c r="BR279" s="118"/>
      <c r="BS279" s="118"/>
      <c r="BT279" s="118"/>
      <c r="BU279" s="118"/>
      <c r="BV279" s="118"/>
      <c r="BW279" s="118"/>
      <c r="BX279" s="118"/>
      <c r="BY279" s="118"/>
      <c r="BZ279" s="118"/>
      <c r="CA279" s="118"/>
      <c r="CB279" s="118"/>
      <c r="CC279" s="118"/>
      <c r="CD279" s="118"/>
      <c r="CE279" s="118"/>
      <c r="CF279" s="118"/>
      <c r="CG279" s="118"/>
      <c r="CH279" s="118"/>
      <c r="CI279" s="118"/>
      <c r="CJ279" s="118"/>
      <c r="CK279" s="118"/>
      <c r="CL279" s="118"/>
      <c r="CM279" s="118"/>
      <c r="CN279" s="118"/>
      <c r="CO279" s="118"/>
      <c r="CP279" s="23"/>
      <c r="CR279" s="105" t="s">
        <v>155</v>
      </c>
      <c r="CS279" s="106"/>
      <c r="CT279" s="106"/>
      <c r="CU279" s="106"/>
      <c r="CV279" s="106"/>
      <c r="CW279" s="107"/>
      <c r="CX279" s="194">
        <f ca="1">TODAY()</f>
        <v>46119</v>
      </c>
      <c r="CY279" s="118"/>
      <c r="CZ279" s="118"/>
      <c r="DA279" s="118"/>
      <c r="DB279" s="118"/>
      <c r="DC279" s="118"/>
      <c r="DD279" s="118"/>
      <c r="DE279" s="118"/>
      <c r="DF279" s="118"/>
      <c r="DG279" s="118"/>
      <c r="DH279" s="118"/>
      <c r="DI279" s="118"/>
      <c r="DJ279" s="118"/>
      <c r="DK279" s="118"/>
      <c r="DL279" s="118"/>
      <c r="DM279" s="23"/>
      <c r="DN279" s="13"/>
      <c r="DO279" s="24"/>
    </row>
    <row r="280" spans="1:119" ht="4.5" customHeight="1" x14ac:dyDescent="0.15">
      <c r="A280" s="13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R280" s="26"/>
      <c r="CS280" s="26"/>
      <c r="CT280" s="26"/>
      <c r="CU280" s="26"/>
      <c r="CV280" s="26"/>
      <c r="CW280" s="26"/>
      <c r="CX280" s="26"/>
      <c r="CY280" s="26"/>
      <c r="CZ280" s="26"/>
      <c r="DA280" s="23"/>
      <c r="DB280" s="23"/>
      <c r="DC280" s="23"/>
      <c r="DD280" s="23"/>
      <c r="DE280" s="23"/>
      <c r="DF280" s="23"/>
      <c r="DG280" s="23"/>
      <c r="DH280" s="23"/>
      <c r="DI280" s="23"/>
      <c r="DJ280" s="23"/>
      <c r="DK280" s="23"/>
      <c r="DL280" s="23"/>
      <c r="DM280" s="23"/>
      <c r="DN280" s="13"/>
      <c r="DO280" s="24"/>
    </row>
    <row r="281" spans="1:119" ht="4.5" customHeight="1" x14ac:dyDescent="0.15">
      <c r="A281" s="13"/>
      <c r="C281" s="24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  <c r="AA281" s="97"/>
      <c r="AB281" s="97"/>
      <c r="AC281" s="97"/>
      <c r="AD281" s="97"/>
      <c r="AE281" s="97"/>
      <c r="AF281" s="97"/>
      <c r="AG281" s="97"/>
      <c r="AH281" s="97"/>
      <c r="AI281" s="97"/>
      <c r="AJ281" s="97"/>
      <c r="AK281" s="97"/>
      <c r="AL281" s="97"/>
      <c r="AM281" s="97"/>
      <c r="AN281" s="97"/>
      <c r="AO281" s="97"/>
      <c r="AP281" s="97"/>
      <c r="AQ281" s="97"/>
      <c r="AR281" s="97"/>
      <c r="AS281" s="97"/>
      <c r="AT281" s="97"/>
      <c r="AU281" s="97"/>
      <c r="AV281" s="97"/>
      <c r="AX281" s="97"/>
      <c r="AY281" s="97"/>
      <c r="AZ281" s="97"/>
      <c r="BA281" s="97"/>
      <c r="BB281" s="97"/>
      <c r="BC281" s="97"/>
      <c r="BD281" s="97"/>
      <c r="BE281" s="97"/>
      <c r="BF281" s="97"/>
      <c r="BG281" s="97"/>
      <c r="BH281" s="97"/>
      <c r="BI281" s="97"/>
      <c r="BJ281" s="97"/>
      <c r="BK281" s="97"/>
      <c r="BL281" s="97"/>
      <c r="BM281" s="97"/>
      <c r="BN281" s="97"/>
      <c r="BO281" s="97"/>
      <c r="BP281" s="97"/>
      <c r="BQ281" s="97"/>
      <c r="BR281" s="97"/>
      <c r="BS281" s="97"/>
      <c r="BT281" s="97"/>
      <c r="BU281" s="97"/>
      <c r="BV281" s="97"/>
      <c r="BW281" s="97"/>
      <c r="BX281" s="97"/>
      <c r="BY281" s="97"/>
      <c r="BZ281" s="97"/>
      <c r="CA281" s="97"/>
      <c r="CB281" s="97"/>
      <c r="CC281" s="97"/>
      <c r="CD281" s="97"/>
      <c r="CE281" s="97"/>
      <c r="CF281" s="97"/>
      <c r="CG281" s="97"/>
      <c r="CH281" s="97"/>
      <c r="CI281" s="97"/>
      <c r="CJ281" s="97"/>
      <c r="CK281" s="97"/>
      <c r="CP281" s="97"/>
      <c r="CR281" s="97"/>
      <c r="CS281" s="97"/>
      <c r="CT281" s="97"/>
      <c r="CU281" s="97"/>
      <c r="CV281" s="97"/>
      <c r="CW281" s="97"/>
      <c r="CX281" s="97"/>
      <c r="CY281" s="97"/>
      <c r="CZ281" s="97"/>
      <c r="DA281" s="97"/>
      <c r="DB281" s="97"/>
      <c r="DC281" s="97"/>
      <c r="DD281" s="97"/>
      <c r="DE281" s="97"/>
      <c r="DF281" s="97"/>
      <c r="DG281" s="97"/>
      <c r="DH281" s="97"/>
      <c r="DI281" s="97"/>
      <c r="DJ281" s="97"/>
      <c r="DM281" s="97"/>
      <c r="DN281" s="13"/>
      <c r="DO281" s="24"/>
    </row>
    <row r="282" spans="1:119" ht="4.5" customHeight="1" x14ac:dyDescent="0.15">
      <c r="A282" s="1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/>
      <c r="DH282" s="23"/>
      <c r="DI282" s="23"/>
      <c r="DJ282" s="23"/>
      <c r="DK282" s="23"/>
      <c r="DL282" s="23"/>
      <c r="DM282" s="23"/>
      <c r="DN282" s="13"/>
      <c r="DO282" s="24"/>
    </row>
    <row r="283" spans="1:119" ht="19.5" customHeight="1" x14ac:dyDescent="0.15">
      <c r="A283" s="13"/>
      <c r="C283" s="105" t="s">
        <v>156</v>
      </c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7"/>
      <c r="P283" s="192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8"/>
      <c r="AE283" s="118"/>
      <c r="AF283" s="118"/>
      <c r="AG283" s="118"/>
      <c r="AH283" s="118"/>
      <c r="AI283" s="118"/>
      <c r="AJ283" s="118"/>
      <c r="AK283" s="118"/>
      <c r="AL283" s="118"/>
      <c r="AM283" s="118"/>
      <c r="AN283" s="118"/>
      <c r="AO283" s="118"/>
      <c r="AP283" s="118"/>
      <c r="AQ283" s="118"/>
      <c r="AR283" s="118"/>
      <c r="AS283" s="118"/>
      <c r="AT283" s="118"/>
      <c r="AU283" s="118"/>
      <c r="AV283" s="23"/>
      <c r="AX283" s="105" t="s">
        <v>154</v>
      </c>
      <c r="AY283" s="106"/>
      <c r="AZ283" s="106"/>
      <c r="BA283" s="106"/>
      <c r="BB283" s="106"/>
      <c r="BC283" s="106"/>
      <c r="BD283" s="106"/>
      <c r="BE283" s="106"/>
      <c r="BF283" s="106"/>
      <c r="BG283" s="106"/>
      <c r="BH283" s="106"/>
      <c r="BI283" s="106"/>
      <c r="BJ283" s="107"/>
      <c r="BK283" s="193" t="str">
        <f>IF($AJ$54="","",$AJ$54)</f>
        <v/>
      </c>
      <c r="BL283" s="118"/>
      <c r="BM283" s="118"/>
      <c r="BN283" s="118"/>
      <c r="BO283" s="118"/>
      <c r="BP283" s="118"/>
      <c r="BQ283" s="118"/>
      <c r="BR283" s="118"/>
      <c r="BS283" s="118"/>
      <c r="BT283" s="118"/>
      <c r="BU283" s="118"/>
      <c r="BV283" s="118"/>
      <c r="BW283" s="118"/>
      <c r="BX283" s="118"/>
      <c r="BY283" s="118"/>
      <c r="BZ283" s="118"/>
      <c r="CA283" s="118"/>
      <c r="CB283" s="118"/>
      <c r="CC283" s="118"/>
      <c r="CD283" s="118"/>
      <c r="CE283" s="118"/>
      <c r="CF283" s="118"/>
      <c r="CG283" s="118"/>
      <c r="CH283" s="118"/>
      <c r="CI283" s="118"/>
      <c r="CJ283" s="118"/>
      <c r="CK283" s="118"/>
      <c r="CL283" s="118"/>
      <c r="CM283" s="118"/>
      <c r="CN283" s="118"/>
      <c r="CO283" s="118"/>
      <c r="CP283" s="23"/>
      <c r="CR283" s="105" t="s">
        <v>155</v>
      </c>
      <c r="CS283" s="106"/>
      <c r="CT283" s="106"/>
      <c r="CU283" s="106"/>
      <c r="CV283" s="106"/>
      <c r="CW283" s="107"/>
      <c r="CX283" s="194">
        <f ca="1">TODAY()</f>
        <v>46119</v>
      </c>
      <c r="CY283" s="118"/>
      <c r="CZ283" s="118"/>
      <c r="DA283" s="118"/>
      <c r="DB283" s="118"/>
      <c r="DC283" s="118"/>
      <c r="DD283" s="118"/>
      <c r="DE283" s="118"/>
      <c r="DF283" s="118"/>
      <c r="DG283" s="118"/>
      <c r="DH283" s="118"/>
      <c r="DI283" s="118"/>
      <c r="DJ283" s="118"/>
      <c r="DK283" s="118"/>
      <c r="DL283" s="118"/>
      <c r="DM283" s="23"/>
      <c r="DN283" s="13"/>
      <c r="DO283" s="24"/>
    </row>
    <row r="284" spans="1:119" ht="4.5" customHeight="1" x14ac:dyDescent="0.15">
      <c r="A284" s="13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R284" s="26"/>
      <c r="CS284" s="26"/>
      <c r="CT284" s="26"/>
      <c r="CU284" s="26"/>
      <c r="CV284" s="26"/>
      <c r="CW284" s="26"/>
      <c r="CX284" s="26"/>
      <c r="CY284" s="26"/>
      <c r="CZ284" s="26"/>
      <c r="DA284" s="23"/>
      <c r="DB284" s="23"/>
      <c r="DC284" s="23"/>
      <c r="DD284" s="23"/>
      <c r="DE284" s="23"/>
      <c r="DF284" s="23"/>
      <c r="DG284" s="23"/>
      <c r="DH284" s="23"/>
      <c r="DI284" s="23"/>
      <c r="DJ284" s="23"/>
      <c r="DK284" s="23"/>
      <c r="DL284" s="23"/>
      <c r="DM284" s="23"/>
      <c r="DN284" s="13"/>
      <c r="DO284" s="24"/>
    </row>
    <row r="285" spans="1:119" ht="4.5" customHeight="1" x14ac:dyDescent="0.15">
      <c r="A285" s="24"/>
      <c r="B285" s="24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  <c r="AA285" s="97"/>
      <c r="AB285" s="97"/>
      <c r="AC285" s="97"/>
      <c r="AD285" s="97"/>
      <c r="AE285" s="97"/>
      <c r="AF285" s="97"/>
      <c r="AG285" s="97"/>
      <c r="AH285" s="97"/>
      <c r="AI285" s="97"/>
      <c r="AJ285" s="97"/>
      <c r="AK285" s="97"/>
      <c r="AL285" s="97"/>
      <c r="AM285" s="97"/>
      <c r="AN285" s="97"/>
      <c r="AO285" s="97"/>
      <c r="AP285" s="97"/>
      <c r="AQ285" s="97"/>
      <c r="AR285" s="97"/>
      <c r="AS285" s="97"/>
      <c r="AT285" s="97"/>
      <c r="AU285" s="97"/>
      <c r="AV285" s="97"/>
      <c r="AW285" s="97"/>
      <c r="AX285" s="97"/>
      <c r="AY285" s="97"/>
      <c r="AZ285" s="97"/>
      <c r="BA285" s="97"/>
      <c r="BB285" s="97"/>
      <c r="BC285" s="97"/>
      <c r="BD285" s="97"/>
      <c r="BE285" s="97"/>
      <c r="BF285" s="97"/>
      <c r="BG285" s="97"/>
      <c r="BH285" s="97"/>
      <c r="BI285" s="97"/>
      <c r="BJ285" s="97"/>
      <c r="BK285" s="97"/>
      <c r="BL285" s="97"/>
      <c r="BM285" s="97"/>
      <c r="BN285" s="97"/>
      <c r="BO285" s="97"/>
      <c r="BP285" s="97"/>
      <c r="BQ285" s="97"/>
      <c r="BR285" s="97"/>
      <c r="BS285" s="97"/>
      <c r="BT285" s="97"/>
      <c r="BU285" s="97"/>
      <c r="BV285" s="97"/>
      <c r="BW285" s="97"/>
      <c r="BX285" s="97"/>
      <c r="BY285" s="97"/>
      <c r="BZ285" s="97"/>
      <c r="CA285" s="97"/>
      <c r="CB285" s="97"/>
      <c r="CC285" s="97"/>
      <c r="CD285" s="97"/>
      <c r="CE285" s="97"/>
      <c r="CF285" s="97"/>
      <c r="CG285" s="97"/>
      <c r="CH285" s="97"/>
      <c r="CI285" s="97"/>
      <c r="CJ285" s="97"/>
      <c r="CK285" s="97"/>
      <c r="CL285" s="97"/>
      <c r="CM285" s="97"/>
      <c r="CN285" s="97"/>
      <c r="CO285" s="97"/>
      <c r="CP285" s="97"/>
      <c r="CQ285" s="97"/>
      <c r="CR285" s="97"/>
      <c r="CS285" s="97"/>
      <c r="CT285" s="97"/>
      <c r="CU285" s="97"/>
      <c r="CV285" s="97"/>
      <c r="CW285" s="97"/>
      <c r="CX285" s="97"/>
      <c r="CY285" s="97"/>
      <c r="CZ285" s="97"/>
      <c r="DA285" s="97"/>
      <c r="DB285" s="97"/>
      <c r="DC285" s="97"/>
      <c r="DD285" s="97"/>
      <c r="DE285" s="97"/>
      <c r="DF285" s="97"/>
      <c r="DG285" s="97"/>
      <c r="DH285" s="97"/>
      <c r="DI285" s="97"/>
      <c r="DJ285" s="97"/>
      <c r="DK285" s="97"/>
      <c r="DL285" s="97"/>
      <c r="DM285" s="97"/>
      <c r="DN285" s="24"/>
      <c r="DO285" s="24"/>
    </row>
    <row r="286" spans="1:119" ht="19.5" customHeight="1" x14ac:dyDescent="0.15">
      <c r="A286" s="13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  <c r="AA286" s="98"/>
      <c r="AB286" s="98"/>
      <c r="AC286" s="98"/>
      <c r="AD286" s="98"/>
      <c r="AE286" s="98"/>
      <c r="AF286" s="98"/>
      <c r="AG286" s="98"/>
      <c r="AH286" s="98"/>
      <c r="AI286" s="98"/>
      <c r="AJ286" s="98"/>
      <c r="AK286" s="98"/>
      <c r="AL286" s="98"/>
      <c r="AM286" s="98"/>
      <c r="AN286" s="98"/>
      <c r="AO286" s="98"/>
      <c r="AP286" s="98"/>
      <c r="AQ286" s="98"/>
      <c r="AR286" s="98"/>
      <c r="AS286" s="98"/>
      <c r="AT286" s="98"/>
      <c r="AU286" s="98"/>
      <c r="AV286" s="98"/>
      <c r="AW286" s="98"/>
      <c r="AX286" s="98"/>
      <c r="AY286" s="98"/>
      <c r="AZ286" s="98"/>
      <c r="BA286" s="98"/>
      <c r="BB286" s="98"/>
      <c r="BC286" s="98"/>
      <c r="BD286" s="98"/>
      <c r="BE286" s="98"/>
      <c r="BF286" s="98"/>
      <c r="BG286" s="98"/>
      <c r="BH286" s="98"/>
      <c r="BI286" s="98"/>
      <c r="BJ286" s="98"/>
      <c r="BK286" s="98"/>
      <c r="BL286" s="98"/>
      <c r="BM286" s="98"/>
      <c r="BN286" s="98"/>
      <c r="BO286" s="98"/>
      <c r="BP286" s="98"/>
      <c r="BQ286" s="98"/>
      <c r="BR286" s="98"/>
      <c r="BS286" s="98"/>
      <c r="BT286" s="98"/>
      <c r="BU286" s="98"/>
      <c r="BV286" s="98"/>
      <c r="BW286" s="98"/>
      <c r="BX286" s="98"/>
      <c r="BY286" s="98"/>
      <c r="BZ286" s="98"/>
      <c r="CA286" s="98"/>
      <c r="CB286" s="98"/>
      <c r="CC286" s="98"/>
      <c r="CD286" s="98"/>
      <c r="CE286" s="98"/>
      <c r="CF286" s="98"/>
      <c r="CG286" s="98"/>
      <c r="CH286" s="98"/>
      <c r="CI286" s="98"/>
      <c r="CJ286" s="98"/>
      <c r="CK286" s="98"/>
      <c r="CL286" s="98"/>
      <c r="CM286" s="98"/>
      <c r="CN286" s="98"/>
      <c r="CO286" s="98"/>
      <c r="CP286" s="98"/>
      <c r="CQ286" s="98"/>
      <c r="CR286" s="98"/>
      <c r="CS286" s="98"/>
      <c r="CT286" s="98"/>
      <c r="CU286" s="98"/>
      <c r="CV286" s="98"/>
      <c r="CW286" s="98"/>
      <c r="CX286" s="98"/>
      <c r="CY286" s="98"/>
      <c r="CZ286" s="98"/>
      <c r="DA286" s="98"/>
      <c r="DB286" s="98"/>
      <c r="DC286" s="98"/>
      <c r="DD286" s="98"/>
      <c r="DE286" s="98"/>
      <c r="DF286" s="98"/>
      <c r="DG286" s="98"/>
      <c r="DH286" s="98"/>
      <c r="DI286" s="98"/>
      <c r="DJ286" s="98"/>
      <c r="DK286" s="98"/>
      <c r="DL286" s="98"/>
      <c r="DM286" s="98"/>
      <c r="DN286" s="13"/>
      <c r="DO286" s="24"/>
    </row>
    <row r="287" spans="1:119" ht="19.5" customHeight="1" x14ac:dyDescent="0.15"/>
    <row r="288" spans="1:119" ht="4.5" customHeight="1" x14ac:dyDescent="0.15"/>
    <row r="289" ht="4.5" customHeight="1" x14ac:dyDescent="0.15"/>
    <row r="290" ht="15" hidden="1" customHeight="1" x14ac:dyDescent="0.15"/>
    <row r="291" ht="15" hidden="1" customHeight="1" x14ac:dyDescent="0.15"/>
    <row r="292" ht="15" hidden="1" customHeight="1" x14ac:dyDescent="0.15"/>
    <row r="293" ht="15" hidden="1" customHeight="1" x14ac:dyDescent="0.15"/>
    <row r="294" ht="15" hidden="1" customHeight="1" x14ac:dyDescent="0.15"/>
    <row r="295" ht="15" hidden="1" customHeight="1" x14ac:dyDescent="0.15"/>
    <row r="296" ht="15" hidden="1" customHeight="1" x14ac:dyDescent="0.15"/>
  </sheetData>
  <mergeCells count="645">
    <mergeCell ref="K207:N207"/>
    <mergeCell ref="K199:N199"/>
    <mergeCell ref="K200:N200"/>
    <mergeCell ref="K201:N201"/>
    <mergeCell ref="K202:N202"/>
    <mergeCell ref="K203:N203"/>
    <mergeCell ref="K204:N204"/>
    <mergeCell ref="K205:N205"/>
    <mergeCell ref="AQ262:BY262"/>
    <mergeCell ref="G258:AO258"/>
    <mergeCell ref="AQ258:BY258"/>
    <mergeCell ref="G260:AO260"/>
    <mergeCell ref="AQ260:BY260"/>
    <mergeCell ref="G262:AO262"/>
    <mergeCell ref="K191:BD191"/>
    <mergeCell ref="BE191:BJ191"/>
    <mergeCell ref="K192:BD192"/>
    <mergeCell ref="BE192:BJ192"/>
    <mergeCell ref="O194:BD194"/>
    <mergeCell ref="BE194:BJ194"/>
    <mergeCell ref="O205:BD205"/>
    <mergeCell ref="O206:BD206"/>
    <mergeCell ref="BE206:BJ206"/>
    <mergeCell ref="O202:BD202"/>
    <mergeCell ref="BE202:BJ202"/>
    <mergeCell ref="O203:BD203"/>
    <mergeCell ref="BE203:BJ203"/>
    <mergeCell ref="O204:BD204"/>
    <mergeCell ref="BE204:BJ204"/>
    <mergeCell ref="BE205:BJ205"/>
    <mergeCell ref="K206:N206"/>
    <mergeCell ref="O177:BD177"/>
    <mergeCell ref="BE177:BJ177"/>
    <mergeCell ref="O178:BD178"/>
    <mergeCell ref="BE178:BJ178"/>
    <mergeCell ref="O179:BD179"/>
    <mergeCell ref="BE179:BJ179"/>
    <mergeCell ref="O180:BD180"/>
    <mergeCell ref="BE180:BJ180"/>
    <mergeCell ref="BE181:BJ181"/>
    <mergeCell ref="O181:BD181"/>
    <mergeCell ref="O169:BD169"/>
    <mergeCell ref="BE169:BJ169"/>
    <mergeCell ref="O171:BD171"/>
    <mergeCell ref="BE171:BJ171"/>
    <mergeCell ref="O172:BD172"/>
    <mergeCell ref="BE172:BJ172"/>
    <mergeCell ref="O173:BD173"/>
    <mergeCell ref="BE173:BJ173"/>
    <mergeCell ref="BE174:BJ174"/>
    <mergeCell ref="O174:BD174"/>
    <mergeCell ref="O164:BD164"/>
    <mergeCell ref="BE164:BJ164"/>
    <mergeCell ref="O165:BD165"/>
    <mergeCell ref="BE165:BJ165"/>
    <mergeCell ref="BE166:BJ166"/>
    <mergeCell ref="O166:BD166"/>
    <mergeCell ref="O167:BD167"/>
    <mergeCell ref="BE167:BJ167"/>
    <mergeCell ref="O168:BD168"/>
    <mergeCell ref="BE168:BJ168"/>
    <mergeCell ref="O170:BD170"/>
    <mergeCell ref="BE170:BJ170"/>
    <mergeCell ref="CX176:DE176"/>
    <mergeCell ref="DF176:DK176"/>
    <mergeCell ref="CL174:CW174"/>
    <mergeCell ref="CX174:DE174"/>
    <mergeCell ref="DF174:DK174"/>
    <mergeCell ref="CL175:CW175"/>
    <mergeCell ref="CX175:DE175"/>
    <mergeCell ref="DF175:DK175"/>
    <mergeCell ref="CL176:CW176"/>
    <mergeCell ref="O175:BD175"/>
    <mergeCell ref="BE175:BJ175"/>
    <mergeCell ref="O176:BD176"/>
    <mergeCell ref="BE176:BJ176"/>
    <mergeCell ref="CX162:DE162"/>
    <mergeCell ref="DF162:DK162"/>
    <mergeCell ref="O159:BD159"/>
    <mergeCell ref="O160:BD160"/>
    <mergeCell ref="BE161:BJ161"/>
    <mergeCell ref="BK161:CK163"/>
    <mergeCell ref="CX161:DE161"/>
    <mergeCell ref="DF161:DK161"/>
    <mergeCell ref="BE162:BJ162"/>
    <mergeCell ref="DF163:DK163"/>
    <mergeCell ref="O163:BD163"/>
    <mergeCell ref="BE163:BJ163"/>
    <mergeCell ref="O158:BD158"/>
    <mergeCell ref="BE158:BJ158"/>
    <mergeCell ref="BK158:CK160"/>
    <mergeCell ref="CL158:CW158"/>
    <mergeCell ref="BE159:BJ159"/>
    <mergeCell ref="BE160:BJ160"/>
    <mergeCell ref="O161:BD161"/>
    <mergeCell ref="O162:BD162"/>
    <mergeCell ref="CL161:CW161"/>
    <mergeCell ref="CL162:CW162"/>
    <mergeCell ref="CL159:CW159"/>
    <mergeCell ref="CL160:CW160"/>
    <mergeCell ref="CX160:DE160"/>
    <mergeCell ref="DF160:DK160"/>
    <mergeCell ref="CX156:DE156"/>
    <mergeCell ref="DF156:DK156"/>
    <mergeCell ref="DF157:DK157"/>
    <mergeCell ref="CX158:DE158"/>
    <mergeCell ref="DF158:DK158"/>
    <mergeCell ref="CX159:DE159"/>
    <mergeCell ref="DF159:DK159"/>
    <mergeCell ref="CX150:DE150"/>
    <mergeCell ref="DF150:DK150"/>
    <mergeCell ref="K152:N152"/>
    <mergeCell ref="K153:N153"/>
    <mergeCell ref="O155:BD155"/>
    <mergeCell ref="BE155:BJ155"/>
    <mergeCell ref="O156:BD156"/>
    <mergeCell ref="BE156:BJ156"/>
    <mergeCell ref="BE157:BJ157"/>
    <mergeCell ref="O157:BD157"/>
    <mergeCell ref="DF152:DK152"/>
    <mergeCell ref="DF153:DK153"/>
    <mergeCell ref="DF154:DK154"/>
    <mergeCell ref="G118:DI118"/>
    <mergeCell ref="F121:DJ121"/>
    <mergeCell ref="F127:DJ127"/>
    <mergeCell ref="G130:DI130"/>
    <mergeCell ref="G131:DI131"/>
    <mergeCell ref="F134:DJ134"/>
    <mergeCell ref="G137:DI137"/>
    <mergeCell ref="CX149:DE149"/>
    <mergeCell ref="DF149:DK149"/>
    <mergeCell ref="G138:DI138"/>
    <mergeCell ref="F141:DJ141"/>
    <mergeCell ref="E149:J149"/>
    <mergeCell ref="K149:BD149"/>
    <mergeCell ref="BE149:BJ149"/>
    <mergeCell ref="BK149:CK149"/>
    <mergeCell ref="CL149:CW149"/>
    <mergeCell ref="E150:J150"/>
    <mergeCell ref="K150:BD150"/>
    <mergeCell ref="BE150:BJ150"/>
    <mergeCell ref="BK150:CK150"/>
    <mergeCell ref="CL150:CW150"/>
    <mergeCell ref="O153:BD153"/>
    <mergeCell ref="BE153:BJ153"/>
    <mergeCell ref="O154:BD154"/>
    <mergeCell ref="BE154:BJ154"/>
    <mergeCell ref="CL154:CW154"/>
    <mergeCell ref="CX154:DE154"/>
    <mergeCell ref="O152:BD152"/>
    <mergeCell ref="BE152:BJ152"/>
    <mergeCell ref="BK152:CK154"/>
    <mergeCell ref="CL152:CW152"/>
    <mergeCell ref="CX152:DE152"/>
    <mergeCell ref="CA238:DI238"/>
    <mergeCell ref="CA240:DI240"/>
    <mergeCell ref="CA242:DI242"/>
    <mergeCell ref="CA244:DI244"/>
    <mergeCell ref="CA254:DI254"/>
    <mergeCell ref="CA256:DI256"/>
    <mergeCell ref="E225:AE228"/>
    <mergeCell ref="AG225:BG225"/>
    <mergeCell ref="BI225:CI225"/>
    <mergeCell ref="CK225:DK225"/>
    <mergeCell ref="AG226:BG226"/>
    <mergeCell ref="BI226:CI226"/>
    <mergeCell ref="CK226:DK226"/>
    <mergeCell ref="DC227:DJ227"/>
    <mergeCell ref="E221:BD221"/>
    <mergeCell ref="BE221:BJ221"/>
    <mergeCell ref="BK221:DE221"/>
    <mergeCell ref="DF221:DK221"/>
    <mergeCell ref="BE222:BJ222"/>
    <mergeCell ref="AY227:BF227"/>
    <mergeCell ref="BJ227:BQ227"/>
    <mergeCell ref="BS227:BY227"/>
    <mergeCell ref="CA227:CH227"/>
    <mergeCell ref="CL227:CS227"/>
    <mergeCell ref="CU227:DA227"/>
    <mergeCell ref="CR283:CW283"/>
    <mergeCell ref="CX283:DL283"/>
    <mergeCell ref="F270:DJ270"/>
    <mergeCell ref="G272:AA272"/>
    <mergeCell ref="AC272:AW272"/>
    <mergeCell ref="AY272:BR272"/>
    <mergeCell ref="BT272:CN272"/>
    <mergeCell ref="CP272:DI272"/>
    <mergeCell ref="C279:O279"/>
    <mergeCell ref="CX279:DL279"/>
    <mergeCell ref="BK279:CO279"/>
    <mergeCell ref="CR279:CW279"/>
    <mergeCell ref="G254:AO254"/>
    <mergeCell ref="AQ254:BY254"/>
    <mergeCell ref="G256:AO256"/>
    <mergeCell ref="AQ256:BY256"/>
    <mergeCell ref="P279:AU279"/>
    <mergeCell ref="AX279:BJ279"/>
    <mergeCell ref="C283:O283"/>
    <mergeCell ref="P283:AU283"/>
    <mergeCell ref="AX283:BJ283"/>
    <mergeCell ref="BK283:CO283"/>
    <mergeCell ref="CA262:DI262"/>
    <mergeCell ref="CA258:DI258"/>
    <mergeCell ref="CA260:DI260"/>
    <mergeCell ref="AH227:AO227"/>
    <mergeCell ref="AQ227:AW227"/>
    <mergeCell ref="G238:AO238"/>
    <mergeCell ref="AQ238:BY238"/>
    <mergeCell ref="G240:AO240"/>
    <mergeCell ref="AQ240:BY240"/>
    <mergeCell ref="AQ242:BY242"/>
    <mergeCell ref="G242:AO242"/>
    <mergeCell ref="G244:AO244"/>
    <mergeCell ref="AQ244:BY244"/>
    <mergeCell ref="DF217:DK217"/>
    <mergeCell ref="CX218:DE218"/>
    <mergeCell ref="DF218:DK218"/>
    <mergeCell ref="CX219:DE219"/>
    <mergeCell ref="DF219:DK219"/>
    <mergeCell ref="O217:BD217"/>
    <mergeCell ref="O218:BD218"/>
    <mergeCell ref="BE218:BJ218"/>
    <mergeCell ref="BK218:CK219"/>
    <mergeCell ref="CL218:CW218"/>
    <mergeCell ref="O219:BD219"/>
    <mergeCell ref="BE219:BJ219"/>
    <mergeCell ref="CL219:CW219"/>
    <mergeCell ref="BE217:BJ217"/>
    <mergeCell ref="BK215:CK217"/>
    <mergeCell ref="CL215:CW215"/>
    <mergeCell ref="CX215:DE215"/>
    <mergeCell ref="DF215:DK215"/>
    <mergeCell ref="CL216:CW216"/>
    <mergeCell ref="CL217:CW217"/>
    <mergeCell ref="CX217:DE217"/>
    <mergeCell ref="CL214:CW214"/>
    <mergeCell ref="O211:BD211"/>
    <mergeCell ref="BE212:BJ212"/>
    <mergeCell ref="BK212:CK214"/>
    <mergeCell ref="CX212:DE212"/>
    <mergeCell ref="DF212:DK212"/>
    <mergeCell ref="DF213:DK213"/>
    <mergeCell ref="BE214:BJ214"/>
    <mergeCell ref="CX216:DE216"/>
    <mergeCell ref="DF216:DK216"/>
    <mergeCell ref="O212:BD212"/>
    <mergeCell ref="O214:BD214"/>
    <mergeCell ref="O215:BD215"/>
    <mergeCell ref="BE215:BJ215"/>
    <mergeCell ref="O216:BD216"/>
    <mergeCell ref="BE216:BJ216"/>
    <mergeCell ref="CX214:DE214"/>
    <mergeCell ref="DF214:DK214"/>
    <mergeCell ref="O209:BD209"/>
    <mergeCell ref="BE209:BJ209"/>
    <mergeCell ref="O210:BD210"/>
    <mergeCell ref="BE210:BJ210"/>
    <mergeCell ref="BE211:BJ211"/>
    <mergeCell ref="O213:BD213"/>
    <mergeCell ref="BE213:BJ213"/>
    <mergeCell ref="CL213:CW213"/>
    <mergeCell ref="CX213:DE213"/>
    <mergeCell ref="CL212:CW212"/>
    <mergeCell ref="CX210:DE210"/>
    <mergeCell ref="DF210:DK210"/>
    <mergeCell ref="CL211:CW211"/>
    <mergeCell ref="CX211:DE211"/>
    <mergeCell ref="CL208:CW208"/>
    <mergeCell ref="CX208:DE208"/>
    <mergeCell ref="BK209:CK211"/>
    <mergeCell ref="CL209:CW209"/>
    <mergeCell ref="CX209:DE209"/>
    <mergeCell ref="DF209:DK209"/>
    <mergeCell ref="CL210:CW210"/>
    <mergeCell ref="DF211:DK211"/>
    <mergeCell ref="CX207:DE207"/>
    <mergeCell ref="DF207:DK207"/>
    <mergeCell ref="BK206:CK208"/>
    <mergeCell ref="CL206:CW206"/>
    <mergeCell ref="CX206:DE206"/>
    <mergeCell ref="DF206:DK206"/>
    <mergeCell ref="O207:BD207"/>
    <mergeCell ref="BE207:BJ207"/>
    <mergeCell ref="CL207:CW207"/>
    <mergeCell ref="DF208:DK208"/>
    <mergeCell ref="O208:BD208"/>
    <mergeCell ref="BE208:BJ208"/>
    <mergeCell ref="O197:BD197"/>
    <mergeCell ref="BE197:BJ197"/>
    <mergeCell ref="BE198:BJ198"/>
    <mergeCell ref="O198:BD198"/>
    <mergeCell ref="O199:BD199"/>
    <mergeCell ref="BE199:BJ199"/>
    <mergeCell ref="O200:BD200"/>
    <mergeCell ref="BE200:BJ200"/>
    <mergeCell ref="O201:BD201"/>
    <mergeCell ref="BE201:BJ201"/>
    <mergeCell ref="K215:N215"/>
    <mergeCell ref="K216:N216"/>
    <mergeCell ref="K217:N217"/>
    <mergeCell ref="K218:N218"/>
    <mergeCell ref="K219:N219"/>
    <mergeCell ref="K208:N208"/>
    <mergeCell ref="K209:N209"/>
    <mergeCell ref="K210:N210"/>
    <mergeCell ref="K211:N211"/>
    <mergeCell ref="K212:N212"/>
    <mergeCell ref="K213:N213"/>
    <mergeCell ref="K214:N214"/>
    <mergeCell ref="E176:J178"/>
    <mergeCell ref="E206:J208"/>
    <mergeCell ref="E209:J211"/>
    <mergeCell ref="E212:J214"/>
    <mergeCell ref="E215:J217"/>
    <mergeCell ref="E218:J219"/>
    <mergeCell ref="E179:J181"/>
    <mergeCell ref="E191:J191"/>
    <mergeCell ref="E192:J192"/>
    <mergeCell ref="E194:J196"/>
    <mergeCell ref="E197:J199"/>
    <mergeCell ref="E200:J202"/>
    <mergeCell ref="E203:J205"/>
    <mergeCell ref="K170:N170"/>
    <mergeCell ref="K171:N171"/>
    <mergeCell ref="K172:N172"/>
    <mergeCell ref="E158:J160"/>
    <mergeCell ref="E161:J163"/>
    <mergeCell ref="E164:J166"/>
    <mergeCell ref="E167:J169"/>
    <mergeCell ref="E170:J172"/>
    <mergeCell ref="E173:J175"/>
    <mergeCell ref="K161:N161"/>
    <mergeCell ref="K162:N162"/>
    <mergeCell ref="K163:N163"/>
    <mergeCell ref="K164:N164"/>
    <mergeCell ref="K165:N165"/>
    <mergeCell ref="K166:N166"/>
    <mergeCell ref="K167:N167"/>
    <mergeCell ref="K168:N168"/>
    <mergeCell ref="K169:N169"/>
    <mergeCell ref="E152:J154"/>
    <mergeCell ref="K154:N154"/>
    <mergeCell ref="E155:J157"/>
    <mergeCell ref="K155:N155"/>
    <mergeCell ref="K156:N156"/>
    <mergeCell ref="K157:N157"/>
    <mergeCell ref="K160:N160"/>
    <mergeCell ref="K158:N158"/>
    <mergeCell ref="K159:N159"/>
    <mergeCell ref="CL204:CW204"/>
    <mergeCell ref="CX204:DE204"/>
    <mergeCell ref="DF204:DK204"/>
    <mergeCell ref="CL205:CW205"/>
    <mergeCell ref="CX205:DE205"/>
    <mergeCell ref="DF205:DK205"/>
    <mergeCell ref="K173:N173"/>
    <mergeCell ref="K174:N174"/>
    <mergeCell ref="K175:N175"/>
    <mergeCell ref="K176:N176"/>
    <mergeCell ref="K177:N177"/>
    <mergeCell ref="K178:N178"/>
    <mergeCell ref="K179:N179"/>
    <mergeCell ref="K180:N180"/>
    <mergeCell ref="K181:N181"/>
    <mergeCell ref="K194:N194"/>
    <mergeCell ref="K195:N195"/>
    <mergeCell ref="K196:N196"/>
    <mergeCell ref="K197:N197"/>
    <mergeCell ref="K198:N198"/>
    <mergeCell ref="O195:BD195"/>
    <mergeCell ref="BE195:BJ195"/>
    <mergeCell ref="O196:BD196"/>
    <mergeCell ref="BE196:BJ196"/>
    <mergeCell ref="BK197:CK199"/>
    <mergeCell ref="BK200:CK202"/>
    <mergeCell ref="BK203:CK205"/>
    <mergeCell ref="CX179:DE179"/>
    <mergeCell ref="DF179:DK179"/>
    <mergeCell ref="CL194:CW194"/>
    <mergeCell ref="CX194:DE194"/>
    <mergeCell ref="DF194:DK194"/>
    <mergeCell ref="CL195:CW195"/>
    <mergeCell ref="DF196:DK196"/>
    <mergeCell ref="CL196:CW196"/>
    <mergeCell ref="CX196:DE196"/>
    <mergeCell ref="CL197:CW197"/>
    <mergeCell ref="CX197:DE197"/>
    <mergeCell ref="DF197:DK197"/>
    <mergeCell ref="CX198:DE198"/>
    <mergeCell ref="DF198:DK198"/>
    <mergeCell ref="CL198:CW198"/>
    <mergeCell ref="CL199:CW199"/>
    <mergeCell ref="CX199:DE199"/>
    <mergeCell ref="DF199:DK199"/>
    <mergeCell ref="CL200:CW200"/>
    <mergeCell ref="CX200:DE200"/>
    <mergeCell ref="DF200:DK200"/>
    <mergeCell ref="CX177:DE177"/>
    <mergeCell ref="DF177:DK177"/>
    <mergeCell ref="CL178:CW178"/>
    <mergeCell ref="CX178:DE178"/>
    <mergeCell ref="DF178:DK178"/>
    <mergeCell ref="CL179:CW179"/>
    <mergeCell ref="CX195:DE195"/>
    <mergeCell ref="DF195:DK195"/>
    <mergeCell ref="BK194:CK196"/>
    <mergeCell ref="CX192:DE192"/>
    <mergeCell ref="DF192:DK192"/>
    <mergeCell ref="CX203:DE203"/>
    <mergeCell ref="DF203:DK203"/>
    <mergeCell ref="CL201:CW201"/>
    <mergeCell ref="CX201:DE201"/>
    <mergeCell ref="DF201:DK201"/>
    <mergeCell ref="CL202:CW202"/>
    <mergeCell ref="CX202:DE202"/>
    <mergeCell ref="DF202:DK202"/>
    <mergeCell ref="CL203:CW203"/>
    <mergeCell ref="CX173:DE173"/>
    <mergeCell ref="DF173:DK173"/>
    <mergeCell ref="CL171:CW171"/>
    <mergeCell ref="CX171:DE171"/>
    <mergeCell ref="DF171:DK171"/>
    <mergeCell ref="CL172:CW172"/>
    <mergeCell ref="CX172:DE172"/>
    <mergeCell ref="DF172:DK172"/>
    <mergeCell ref="CL173:CW173"/>
    <mergeCell ref="CX168:DE168"/>
    <mergeCell ref="DF168:DK168"/>
    <mergeCell ref="CL168:CW168"/>
    <mergeCell ref="CL169:CW169"/>
    <mergeCell ref="CX169:DE169"/>
    <mergeCell ref="DF169:DK169"/>
    <mergeCell ref="CL170:CW170"/>
    <mergeCell ref="CX170:DE170"/>
    <mergeCell ref="DF170:DK170"/>
    <mergeCell ref="CX163:DE163"/>
    <mergeCell ref="CL164:CW164"/>
    <mergeCell ref="CX164:DE164"/>
    <mergeCell ref="DF164:DK164"/>
    <mergeCell ref="CL165:CW165"/>
    <mergeCell ref="DF166:DK166"/>
    <mergeCell ref="CL166:CW166"/>
    <mergeCell ref="CX166:DE166"/>
    <mergeCell ref="CL167:CW167"/>
    <mergeCell ref="CX167:DE167"/>
    <mergeCell ref="DF167:DK167"/>
    <mergeCell ref="CX165:DE165"/>
    <mergeCell ref="DF165:DK165"/>
    <mergeCell ref="BK164:CK166"/>
    <mergeCell ref="BK167:CK169"/>
    <mergeCell ref="BK170:CK172"/>
    <mergeCell ref="BK173:CK175"/>
    <mergeCell ref="BK176:CK178"/>
    <mergeCell ref="BK179:CK181"/>
    <mergeCell ref="BK191:CK191"/>
    <mergeCell ref="BK192:CK192"/>
    <mergeCell ref="CL163:CW163"/>
    <mergeCell ref="CL192:CW192"/>
    <mergeCell ref="CL177:CW177"/>
    <mergeCell ref="CX191:DE191"/>
    <mergeCell ref="DF191:DK191"/>
    <mergeCell ref="CL180:CW180"/>
    <mergeCell ref="CX180:DE180"/>
    <mergeCell ref="DF180:DK180"/>
    <mergeCell ref="CL181:CW181"/>
    <mergeCell ref="CX181:DE181"/>
    <mergeCell ref="DF181:DK181"/>
    <mergeCell ref="CL191:CW191"/>
    <mergeCell ref="CL157:CW157"/>
    <mergeCell ref="CX157:DE157"/>
    <mergeCell ref="CL153:CW153"/>
    <mergeCell ref="CX153:DE153"/>
    <mergeCell ref="BK155:CK157"/>
    <mergeCell ref="CL155:CW155"/>
    <mergeCell ref="CX155:DE155"/>
    <mergeCell ref="DF155:DK155"/>
    <mergeCell ref="CL156:CW156"/>
    <mergeCell ref="CT64:CV64"/>
    <mergeCell ref="CX64:CZ64"/>
    <mergeCell ref="DB64:DD64"/>
    <mergeCell ref="DF64:DH64"/>
    <mergeCell ref="AZ64:BB64"/>
    <mergeCell ref="BD64:BF64"/>
    <mergeCell ref="BJ64:BL64"/>
    <mergeCell ref="BN64:BP64"/>
    <mergeCell ref="BR64:BT64"/>
    <mergeCell ref="BV64:BX64"/>
    <mergeCell ref="CB64:CD64"/>
    <mergeCell ref="Z64:AB64"/>
    <mergeCell ref="AD64:AF64"/>
    <mergeCell ref="AH64:AJ64"/>
    <mergeCell ref="AL64:AN64"/>
    <mergeCell ref="AR64:AT64"/>
    <mergeCell ref="AV64:AX64"/>
    <mergeCell ref="CF64:CH64"/>
    <mergeCell ref="CJ64:CL64"/>
    <mergeCell ref="CN64:CP64"/>
    <mergeCell ref="CA60:CQ60"/>
    <mergeCell ref="CS60:DI60"/>
    <mergeCell ref="Z63:AF63"/>
    <mergeCell ref="AH63:AN63"/>
    <mergeCell ref="AR63:AX63"/>
    <mergeCell ref="AZ63:BF63"/>
    <mergeCell ref="BJ63:BP63"/>
    <mergeCell ref="BR63:BX63"/>
    <mergeCell ref="CB63:CH63"/>
    <mergeCell ref="CJ63:CP63"/>
    <mergeCell ref="CT63:CZ63"/>
    <mergeCell ref="DB63:DH63"/>
    <mergeCell ref="F22:U22"/>
    <mergeCell ref="G32:W46"/>
    <mergeCell ref="AJ34:BG34"/>
    <mergeCell ref="CL34:CM34"/>
    <mergeCell ref="CN34:DF34"/>
    <mergeCell ref="DG34:DH34"/>
    <mergeCell ref="Y38:DI38"/>
    <mergeCell ref="AZ45:BB45"/>
    <mergeCell ref="BD45:BF45"/>
    <mergeCell ref="BJ45:BL45"/>
    <mergeCell ref="BN45:BP45"/>
    <mergeCell ref="BR45:BT45"/>
    <mergeCell ref="BV45:BX45"/>
    <mergeCell ref="CB45:CD45"/>
    <mergeCell ref="CF45:CH45"/>
    <mergeCell ref="CT45:CV45"/>
    <mergeCell ref="CX45:CZ45"/>
    <mergeCell ref="DB44:DD44"/>
    <mergeCell ref="DF44:DH44"/>
    <mergeCell ref="DB45:DD45"/>
    <mergeCell ref="DF45:DH45"/>
    <mergeCell ref="Z45:AB45"/>
    <mergeCell ref="AD45:AF45"/>
    <mergeCell ref="AH45:AJ45"/>
    <mergeCell ref="AL45:AN45"/>
    <mergeCell ref="AH34:AI34"/>
    <mergeCell ref="Y40:AO40"/>
    <mergeCell ref="BN44:BP44"/>
    <mergeCell ref="BR44:BT44"/>
    <mergeCell ref="BV44:BX44"/>
    <mergeCell ref="CB44:CD44"/>
    <mergeCell ref="CF44:CH44"/>
    <mergeCell ref="CJ44:CL44"/>
    <mergeCell ref="CN44:CP44"/>
    <mergeCell ref="CT44:CV44"/>
    <mergeCell ref="CX44:CZ44"/>
    <mergeCell ref="Z44:AB44"/>
    <mergeCell ref="AD44:AF44"/>
    <mergeCell ref="AH44:AJ44"/>
    <mergeCell ref="AL44:AN44"/>
    <mergeCell ref="AR44:AT44"/>
    <mergeCell ref="AV44:AX44"/>
    <mergeCell ref="AZ44:BB44"/>
    <mergeCell ref="BD44:BF44"/>
    <mergeCell ref="BJ44:BL44"/>
    <mergeCell ref="CS40:DI40"/>
    <mergeCell ref="Z43:AF43"/>
    <mergeCell ref="AH43:AN43"/>
    <mergeCell ref="AR43:AX43"/>
    <mergeCell ref="AZ43:BF43"/>
    <mergeCell ref="BJ43:BP43"/>
    <mergeCell ref="BR43:BX43"/>
    <mergeCell ref="CB43:CH43"/>
    <mergeCell ref="CJ43:CP43"/>
    <mergeCell ref="CT43:CZ43"/>
    <mergeCell ref="DB43:DH43"/>
    <mergeCell ref="G103:DI103"/>
    <mergeCell ref="G104:DI104"/>
    <mergeCell ref="F107:DJ108"/>
    <mergeCell ref="G110:DI110"/>
    <mergeCell ref="G111:DI111"/>
    <mergeCell ref="F114:DJ115"/>
    <mergeCell ref="G117:DI117"/>
    <mergeCell ref="BT2:DN4"/>
    <mergeCell ref="N5:BO6"/>
    <mergeCell ref="BT5:DN6"/>
    <mergeCell ref="F14:U14"/>
    <mergeCell ref="V14:BO14"/>
    <mergeCell ref="BR14:CG14"/>
    <mergeCell ref="CH14:DI14"/>
    <mergeCell ref="F18:U18"/>
    <mergeCell ref="V18:BO18"/>
    <mergeCell ref="BR18:CG18"/>
    <mergeCell ref="CH18:DI18"/>
    <mergeCell ref="V22:BO22"/>
    <mergeCell ref="BR22:CG22"/>
    <mergeCell ref="CH22:DI22"/>
    <mergeCell ref="AQ40:BG40"/>
    <mergeCell ref="BI40:BY40"/>
    <mergeCell ref="CA40:CQ40"/>
    <mergeCell ref="F71:DI71"/>
    <mergeCell ref="AH65:AJ65"/>
    <mergeCell ref="AL65:AN65"/>
    <mergeCell ref="F81:U81"/>
    <mergeCell ref="V81:BO81"/>
    <mergeCell ref="BR81:CG81"/>
    <mergeCell ref="CH81:DI81"/>
    <mergeCell ref="F85:U85"/>
    <mergeCell ref="CH85:DI85"/>
    <mergeCell ref="Z65:AB65"/>
    <mergeCell ref="AD65:AF65"/>
    <mergeCell ref="CT65:CV65"/>
    <mergeCell ref="CX65:CZ65"/>
    <mergeCell ref="DB65:DD65"/>
    <mergeCell ref="DF65:DH65"/>
    <mergeCell ref="AZ65:BB65"/>
    <mergeCell ref="BD65:BF65"/>
    <mergeCell ref="BJ65:BL65"/>
    <mergeCell ref="BN65:BP65"/>
    <mergeCell ref="BR65:BT65"/>
    <mergeCell ref="BV65:BX65"/>
    <mergeCell ref="CB65:CD65"/>
    <mergeCell ref="F97:U97"/>
    <mergeCell ref="V97:BO97"/>
    <mergeCell ref="BR97:CG97"/>
    <mergeCell ref="CH97:DI97"/>
    <mergeCell ref="F100:DJ101"/>
    <mergeCell ref="CJ45:CL45"/>
    <mergeCell ref="CN45:CP45"/>
    <mergeCell ref="CL54:CM54"/>
    <mergeCell ref="CN54:DF54"/>
    <mergeCell ref="DG54:DH54"/>
    <mergeCell ref="Y58:DI58"/>
    <mergeCell ref="BI60:BY60"/>
    <mergeCell ref="AR65:AT65"/>
    <mergeCell ref="AV65:AX65"/>
    <mergeCell ref="AR45:AT45"/>
    <mergeCell ref="AV45:AX45"/>
    <mergeCell ref="G52:W66"/>
    <mergeCell ref="AH54:AI54"/>
    <mergeCell ref="AJ54:BG54"/>
    <mergeCell ref="Y60:AO60"/>
    <mergeCell ref="AQ60:BG60"/>
    <mergeCell ref="CF65:CH65"/>
    <mergeCell ref="CJ65:CL65"/>
    <mergeCell ref="CN65:CP65"/>
    <mergeCell ref="V85:BO85"/>
    <mergeCell ref="BR85:CG85"/>
    <mergeCell ref="F89:U89"/>
    <mergeCell ref="V89:BO89"/>
    <mergeCell ref="BR89:CG89"/>
    <mergeCell ref="CH89:DI89"/>
    <mergeCell ref="F93:U93"/>
    <mergeCell ref="CH93:DI93"/>
    <mergeCell ref="V93:BO93"/>
    <mergeCell ref="BR93:CG93"/>
  </mergeCells>
  <conditionalFormatting sqref="AH227">
    <cfRule type="cellIs" dxfId="3" priority="1" operator="notEqual">
      <formula>$AY$227</formula>
    </cfRule>
  </conditionalFormatting>
  <conditionalFormatting sqref="BE221">
    <cfRule type="cellIs" dxfId="2" priority="2" operator="notEqual">
      <formula>$BE$222</formula>
    </cfRule>
  </conditionalFormatting>
  <conditionalFormatting sqref="BJ227">
    <cfRule type="cellIs" dxfId="1" priority="3" operator="notEqual">
      <formula>$CA$227</formula>
    </cfRule>
  </conditionalFormatting>
  <conditionalFormatting sqref="DF221:DK221 CL227 DC227">
    <cfRule type="cellIs" dxfId="0" priority="4" operator="notEqual">
      <formula>100</formula>
    </cfRule>
  </conditionalFormatting>
  <dataValidations count="5">
    <dataValidation type="decimal" allowBlank="1" showErrorMessage="1" sqref="Z45 AH45 AR45 AZ45 BJ45 BR45 CB45 CJ45 CT45 DB45 Z65 AH65 AR65 AZ65 BJ65 BR65 CB65 CJ65 CT65 DB65" xr:uid="{00000000-0002-0000-0000-000003000000}">
      <formula1>0</formula1>
      <formula2>59</formula2>
    </dataValidation>
    <dataValidation type="decimal" allowBlank="1" showErrorMessage="1" sqref="BE152:BE181 BE194:BE219" xr:uid="{00000000-0002-0000-0000-000005000000}">
      <formula1>1</formula1>
      <formula2>12</formula2>
    </dataValidation>
    <dataValidation type="decimal" allowBlank="1" showErrorMessage="1" sqref="DF152:DF181" xr:uid="{00000000-0002-0000-0000-000006000000}">
      <formula1>0</formula1>
      <formula2>40</formula2>
    </dataValidation>
    <dataValidation type="decimal" allowBlank="1" showErrorMessage="1" sqref="AD45 AL45 AV45 BD45 BN45 BV45 CF45 CN45 CX45 DF45 AD65 AL65 AV65 BD65 BN65 BV65 CF65 CN65 CX65 DF65" xr:uid="{00000000-0002-0000-0000-000007000000}">
      <formula1>7</formula1>
      <formula2>23</formula2>
    </dataValidation>
    <dataValidation type="decimal" allowBlank="1" showErrorMessage="1" sqref="DF194:DF219" xr:uid="{00000000-0002-0000-0000-000008000000}">
      <formula1>0</formula1>
      <formula2>50</formula2>
    </dataValidation>
  </dataValidations>
  <printOptions horizontalCentered="1"/>
  <pageMargins left="7.874015748031496E-2" right="7.874015748031496E-2" top="7.874015748031496E-2" bottom="0" header="0" footer="0"/>
  <pageSetup paperSize="9" fitToHeight="0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000-000000000000}">
          <x14:formula1>
            <xm:f>Data!$J$2:$J$25</xm:f>
          </x14:formula1>
          <xm:sqref>CL152:CL181 CL194:CL219</xm:sqref>
        </x14:dataValidation>
        <x14:dataValidation type="list" allowBlank="1" showErrorMessage="1" xr:uid="{00000000-0002-0000-0000-000001000000}">
          <x14:formula1>
            <xm:f>Data!$C$2:$C$12</xm:f>
          </x14:formula1>
          <xm:sqref>CX152:CX181 CX194:CX219</xm:sqref>
        </x14:dataValidation>
        <x14:dataValidation type="list" allowBlank="1" showErrorMessage="1" xr:uid="{00000000-0002-0000-0000-000002000000}">
          <x14:formula1>
            <xm:f>Data!$H$2:$H$5</xm:f>
          </x14:formula1>
          <xm:sqref>CH89</xm:sqref>
        </x14:dataValidation>
        <x14:dataValidation type="list" allowBlank="1" showErrorMessage="1" xr:uid="{00000000-0002-0000-0000-000004000000}">
          <x14:formula1>
            <xm:f>Data!$G$2:$G$13</xm:f>
          </x14:formula1>
          <xm:sqref>CH81 CH85</xm:sqref>
        </x14:dataValidation>
        <x14:dataValidation type="list" allowBlank="1" showErrorMessage="1" xr:uid="{00000000-0002-0000-0000-000009000000}">
          <x14:formula1>
            <xm:f>Data!$D$2:$D$4</xm:f>
          </x14:formula1>
          <xm:sqref>V97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rightToLeft="1" workbookViewId="0"/>
  </sheetViews>
  <sheetFormatPr defaultColWidth="12.625" defaultRowHeight="15" customHeight="1" x14ac:dyDescent="0.15"/>
  <cols>
    <col min="1" max="1" width="8.94921875" customWidth="1"/>
    <col min="2" max="2" width="15.32421875" customWidth="1"/>
    <col min="3" max="9" width="8.94921875" customWidth="1"/>
    <col min="10" max="10" width="12.9921875" customWidth="1"/>
    <col min="11" max="26" width="8.578125" customWidth="1"/>
  </cols>
  <sheetData>
    <row r="1" spans="1:26" ht="18" customHeight="1" x14ac:dyDescent="0.15">
      <c r="A1" s="99" t="s">
        <v>160</v>
      </c>
      <c r="B1" s="99" t="s">
        <v>161</v>
      </c>
      <c r="C1" s="99" t="s">
        <v>162</v>
      </c>
      <c r="D1" s="99" t="s">
        <v>163</v>
      </c>
      <c r="E1" s="99" t="s">
        <v>164</v>
      </c>
      <c r="F1" s="99" t="s">
        <v>32</v>
      </c>
      <c r="G1" s="99" t="s">
        <v>26</v>
      </c>
      <c r="H1" s="99" t="s">
        <v>30</v>
      </c>
      <c r="I1" s="100"/>
      <c r="J1" s="99" t="s">
        <v>161</v>
      </c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 spans="1:26" ht="18" customHeight="1" x14ac:dyDescent="0.15">
      <c r="A2" s="99" t="s">
        <v>13</v>
      </c>
      <c r="B2" s="99" t="s">
        <v>165</v>
      </c>
      <c r="C2" s="99" t="s">
        <v>159</v>
      </c>
      <c r="D2" s="99" t="s">
        <v>166</v>
      </c>
      <c r="E2" s="99" t="s">
        <v>167</v>
      </c>
      <c r="F2" s="99" t="s">
        <v>52</v>
      </c>
      <c r="G2" s="100">
        <v>1</v>
      </c>
      <c r="H2" s="99" t="s">
        <v>157</v>
      </c>
      <c r="I2" s="100"/>
      <c r="J2" s="99" t="s">
        <v>168</v>
      </c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</row>
    <row r="3" spans="1:26" ht="18" customHeight="1" x14ac:dyDescent="0.15">
      <c r="A3" s="99" t="s">
        <v>14</v>
      </c>
      <c r="B3" s="99" t="s">
        <v>169</v>
      </c>
      <c r="C3" s="99" t="s">
        <v>170</v>
      </c>
      <c r="D3" s="99" t="s">
        <v>158</v>
      </c>
      <c r="E3" s="99" t="s">
        <v>171</v>
      </c>
      <c r="F3" s="99" t="s">
        <v>56</v>
      </c>
      <c r="G3" s="100">
        <v>2</v>
      </c>
      <c r="H3" s="99" t="s">
        <v>172</v>
      </c>
      <c r="I3" s="100"/>
      <c r="J3" s="99" t="s">
        <v>173</v>
      </c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 spans="1:26" ht="18" customHeight="1" x14ac:dyDescent="0.15">
      <c r="A4" s="99" t="s">
        <v>15</v>
      </c>
      <c r="B4" s="99" t="s">
        <v>174</v>
      </c>
      <c r="C4" s="99" t="s">
        <v>175</v>
      </c>
      <c r="D4" s="99" t="s">
        <v>176</v>
      </c>
      <c r="E4" s="100"/>
      <c r="F4" s="99" t="s">
        <v>60</v>
      </c>
      <c r="G4" s="100">
        <v>3</v>
      </c>
      <c r="H4" s="99" t="s">
        <v>177</v>
      </c>
      <c r="I4" s="100"/>
      <c r="J4" s="99" t="s">
        <v>178</v>
      </c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</row>
    <row r="5" spans="1:26" ht="18" customHeight="1" x14ac:dyDescent="0.15">
      <c r="A5" s="99" t="s">
        <v>179</v>
      </c>
      <c r="B5" s="99" t="s">
        <v>180</v>
      </c>
      <c r="C5" s="99" t="s">
        <v>181</v>
      </c>
      <c r="D5" s="100"/>
      <c r="E5" s="100"/>
      <c r="F5" s="99" t="s">
        <v>64</v>
      </c>
      <c r="G5" s="100">
        <v>4</v>
      </c>
      <c r="H5" s="99" t="s">
        <v>182</v>
      </c>
      <c r="I5" s="100"/>
      <c r="J5" s="99" t="s">
        <v>165</v>
      </c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</row>
    <row r="6" spans="1:26" ht="18" customHeight="1" x14ac:dyDescent="0.15">
      <c r="A6" s="99" t="s">
        <v>17</v>
      </c>
      <c r="B6" s="99" t="s">
        <v>183</v>
      </c>
      <c r="C6" s="99" t="s">
        <v>184</v>
      </c>
      <c r="D6" s="100"/>
      <c r="E6" s="100"/>
      <c r="F6" s="99" t="s">
        <v>68</v>
      </c>
      <c r="G6" s="100">
        <v>5</v>
      </c>
      <c r="H6" s="100"/>
      <c r="I6" s="100"/>
      <c r="J6" s="99" t="s">
        <v>185</v>
      </c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</row>
    <row r="7" spans="1:26" ht="18" customHeight="1" x14ac:dyDescent="0.15">
      <c r="A7" s="100"/>
      <c r="B7" s="99" t="s">
        <v>186</v>
      </c>
      <c r="C7" s="99" t="s">
        <v>187</v>
      </c>
      <c r="D7" s="100"/>
      <c r="E7" s="100"/>
      <c r="F7" s="99" t="s">
        <v>72</v>
      </c>
      <c r="G7" s="100">
        <v>6</v>
      </c>
      <c r="H7" s="100"/>
      <c r="I7" s="100"/>
      <c r="J7" s="99" t="s">
        <v>188</v>
      </c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 spans="1:26" ht="18" customHeight="1" x14ac:dyDescent="0.15">
      <c r="A8" s="100"/>
      <c r="B8" s="99" t="s">
        <v>189</v>
      </c>
      <c r="C8" s="99" t="s">
        <v>190</v>
      </c>
      <c r="D8" s="100"/>
      <c r="E8" s="100"/>
      <c r="F8" s="99" t="s">
        <v>76</v>
      </c>
      <c r="G8" s="100">
        <v>7</v>
      </c>
      <c r="H8" s="100"/>
      <c r="I8" s="100"/>
      <c r="J8" s="99" t="s">
        <v>191</v>
      </c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</row>
    <row r="9" spans="1:26" ht="18" customHeight="1" x14ac:dyDescent="0.15">
      <c r="A9" s="100"/>
      <c r="B9" s="99" t="s">
        <v>191</v>
      </c>
      <c r="C9" s="99" t="s">
        <v>192</v>
      </c>
      <c r="D9" s="100"/>
      <c r="E9" s="100"/>
      <c r="F9" s="99" t="s">
        <v>80</v>
      </c>
      <c r="G9" s="100">
        <v>8</v>
      </c>
      <c r="H9" s="100"/>
      <c r="I9" s="100"/>
      <c r="J9" s="99" t="s">
        <v>193</v>
      </c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</row>
    <row r="10" spans="1:26" ht="18" customHeight="1" x14ac:dyDescent="0.15">
      <c r="A10" s="100"/>
      <c r="B10" s="99" t="s">
        <v>194</v>
      </c>
      <c r="C10" s="99" t="s">
        <v>195</v>
      </c>
      <c r="D10" s="100"/>
      <c r="E10" s="100"/>
      <c r="F10" s="99" t="s">
        <v>84</v>
      </c>
      <c r="G10" s="100">
        <v>9</v>
      </c>
      <c r="H10" s="100"/>
      <c r="I10" s="100"/>
      <c r="J10" s="99" t="s">
        <v>196</v>
      </c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</row>
    <row r="11" spans="1:26" ht="18" customHeight="1" x14ac:dyDescent="0.15">
      <c r="A11" s="100"/>
      <c r="B11" s="100"/>
      <c r="C11" s="99" t="s">
        <v>197</v>
      </c>
      <c r="D11" s="100"/>
      <c r="E11" s="100"/>
      <c r="F11" s="100"/>
      <c r="G11" s="100">
        <v>10</v>
      </c>
      <c r="H11" s="100"/>
      <c r="I11" s="100"/>
      <c r="J11" s="99" t="s">
        <v>198</v>
      </c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</row>
    <row r="12" spans="1:26" ht="18" customHeight="1" x14ac:dyDescent="0.15">
      <c r="A12" s="100"/>
      <c r="B12" s="100"/>
      <c r="C12" s="99" t="s">
        <v>199</v>
      </c>
      <c r="D12" s="100"/>
      <c r="E12" s="100"/>
      <c r="F12" s="100"/>
      <c r="G12" s="100">
        <v>11</v>
      </c>
      <c r="H12" s="100"/>
      <c r="I12" s="100"/>
      <c r="J12" s="99" t="s">
        <v>200</v>
      </c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 spans="1:26" ht="18" customHeight="1" x14ac:dyDescent="0.15">
      <c r="A13" s="100"/>
      <c r="B13" s="100"/>
      <c r="C13" s="100"/>
      <c r="D13" s="100"/>
      <c r="E13" s="100"/>
      <c r="F13" s="100"/>
      <c r="G13" s="100">
        <v>12</v>
      </c>
      <c r="H13" s="100"/>
      <c r="I13" s="100"/>
      <c r="J13" s="99" t="s">
        <v>180</v>
      </c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</row>
    <row r="14" spans="1:26" ht="18" customHeight="1" x14ac:dyDescent="0.15">
      <c r="A14" s="100"/>
      <c r="B14" s="100"/>
      <c r="C14" s="100"/>
      <c r="D14" s="100"/>
      <c r="E14" s="100"/>
      <c r="F14" s="100"/>
      <c r="G14" s="100"/>
      <c r="H14" s="100"/>
      <c r="I14" s="100"/>
      <c r="J14" s="99" t="s">
        <v>183</v>
      </c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</row>
    <row r="15" spans="1:26" ht="18" customHeight="1" x14ac:dyDescent="0.4">
      <c r="A15" s="100"/>
      <c r="B15" s="100"/>
      <c r="C15" s="100"/>
      <c r="D15" s="100"/>
      <c r="E15" s="100"/>
      <c r="F15" s="100"/>
      <c r="G15" s="100"/>
      <c r="H15" s="100"/>
      <c r="I15" s="100"/>
      <c r="J15" s="101" t="s">
        <v>201</v>
      </c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</row>
    <row r="16" spans="1:26" ht="18" customHeight="1" x14ac:dyDescent="0.4">
      <c r="A16" s="100"/>
      <c r="B16" s="100"/>
      <c r="C16" s="100"/>
      <c r="D16" s="100"/>
      <c r="E16" s="100"/>
      <c r="F16" s="100"/>
      <c r="G16" s="100"/>
      <c r="H16" s="100"/>
      <c r="I16" s="100"/>
      <c r="J16" s="101" t="s">
        <v>202</v>
      </c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</row>
    <row r="17" spans="1:26" ht="18" customHeight="1" x14ac:dyDescent="0.15">
      <c r="A17" s="100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</row>
    <row r="18" spans="1:26" ht="18" customHeight="1" x14ac:dyDescent="0.15">
      <c r="A18" s="100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</row>
    <row r="19" spans="1:26" ht="18" customHeight="1" x14ac:dyDescent="0.15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</row>
    <row r="20" spans="1:26" ht="18" customHeight="1" x14ac:dyDescent="0.15">
      <c r="A20" s="100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</row>
    <row r="21" spans="1:26" ht="18" customHeight="1" x14ac:dyDescent="0.15">
      <c r="A21" s="100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</row>
    <row r="22" spans="1:26" ht="18" customHeight="1" x14ac:dyDescent="0.15">
      <c r="A22" s="100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 spans="1:26" ht="18" customHeight="1" x14ac:dyDescent="0.15">
      <c r="A23" s="100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</row>
    <row r="24" spans="1:26" ht="18" customHeight="1" x14ac:dyDescent="0.15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</row>
    <row r="25" spans="1:26" ht="18" customHeight="1" x14ac:dyDescent="0.15">
      <c r="A25" s="100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</row>
    <row r="26" spans="1:26" ht="18" customHeight="1" x14ac:dyDescent="0.15">
      <c r="A26" s="100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</row>
    <row r="27" spans="1:26" ht="18" customHeight="1" x14ac:dyDescent="0.15">
      <c r="A27" s="100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</row>
    <row r="28" spans="1:26" ht="18" customHeight="1" x14ac:dyDescent="0.15">
      <c r="A28" s="100"/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</row>
    <row r="29" spans="1:26" ht="18" customHeight="1" x14ac:dyDescent="0.15">
      <c r="A29" s="100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</row>
    <row r="30" spans="1:26" ht="18" customHeight="1" x14ac:dyDescent="0.15">
      <c r="A30" s="100"/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 spans="1:26" ht="18" customHeight="1" x14ac:dyDescent="0.15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</row>
    <row r="32" spans="1:26" ht="18" customHeight="1" x14ac:dyDescent="0.15">
      <c r="A32" s="100"/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</row>
    <row r="33" spans="1:26" ht="18" customHeight="1" x14ac:dyDescent="0.15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</row>
    <row r="34" spans="1:26" ht="18" customHeight="1" x14ac:dyDescent="0.15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 spans="1:26" ht="18" customHeight="1" x14ac:dyDescent="0.15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 spans="1:26" ht="18" customHeight="1" x14ac:dyDescent="0.15">
      <c r="A36" s="100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 spans="1:26" ht="18" customHeight="1" x14ac:dyDescent="0.15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spans="1:26" ht="18" customHeight="1" x14ac:dyDescent="0.15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spans="1:26" ht="18" customHeight="1" x14ac:dyDescent="0.15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 spans="1:26" ht="18" customHeight="1" x14ac:dyDescent="0.15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 spans="1:26" ht="18" customHeight="1" x14ac:dyDescent="0.15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 spans="1:26" ht="18" customHeight="1" x14ac:dyDescent="0.15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 spans="1:26" ht="18" customHeight="1" x14ac:dyDescent="0.15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 spans="1:26" ht="18" customHeight="1" x14ac:dyDescent="0.15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</row>
    <row r="45" spans="1:26" ht="18" customHeight="1" x14ac:dyDescent="0.15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</row>
    <row r="46" spans="1:26" ht="18" customHeight="1" x14ac:dyDescent="0.15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</row>
    <row r="47" spans="1:26" ht="18" customHeight="1" x14ac:dyDescent="0.15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 spans="1:26" ht="18" customHeight="1" x14ac:dyDescent="0.15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</row>
    <row r="49" spans="1:26" ht="18" customHeight="1" x14ac:dyDescent="0.15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</row>
    <row r="50" spans="1:26" ht="18" customHeight="1" x14ac:dyDescent="0.15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 spans="1:26" ht="18" customHeight="1" x14ac:dyDescent="0.15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 spans="1:26" ht="18" customHeight="1" x14ac:dyDescent="0.15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 spans="1:26" ht="18" customHeight="1" x14ac:dyDescent="0.15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 spans="1:26" ht="18" customHeight="1" x14ac:dyDescent="0.15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</row>
    <row r="55" spans="1:26" ht="18" customHeight="1" x14ac:dyDescent="0.15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</row>
    <row r="56" spans="1:26" ht="18" customHeight="1" x14ac:dyDescent="0.15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</row>
    <row r="57" spans="1:26" ht="18" customHeight="1" x14ac:dyDescent="0.15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</row>
    <row r="58" spans="1:26" ht="18" customHeight="1" x14ac:dyDescent="0.15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</row>
    <row r="59" spans="1:26" ht="18" customHeight="1" x14ac:dyDescent="0.15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spans="1:26" ht="18" customHeight="1" x14ac:dyDescent="0.15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</row>
    <row r="61" spans="1:26" ht="18" customHeight="1" x14ac:dyDescent="0.15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 spans="1:26" ht="18" customHeight="1" x14ac:dyDescent="0.15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 spans="1:26" ht="18" customHeight="1" x14ac:dyDescent="0.15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 spans="1:26" ht="18" customHeight="1" x14ac:dyDescent="0.15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</row>
    <row r="65" spans="1:26" ht="18" customHeight="1" x14ac:dyDescent="0.15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</row>
    <row r="66" spans="1:26" ht="18" customHeight="1" x14ac:dyDescent="0.15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 spans="1:26" ht="18" customHeight="1" x14ac:dyDescent="0.15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 spans="1:26" ht="18" customHeight="1" x14ac:dyDescent="0.15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</row>
    <row r="69" spans="1:26" ht="18" customHeight="1" x14ac:dyDescent="0.15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 spans="1:26" ht="18" customHeight="1" x14ac:dyDescent="0.15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</row>
    <row r="71" spans="1:26" ht="18" customHeight="1" x14ac:dyDescent="0.15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</row>
    <row r="72" spans="1:26" ht="18" customHeight="1" x14ac:dyDescent="0.15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 spans="1:26" ht="18" customHeight="1" x14ac:dyDescent="0.15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 spans="1:26" ht="18" customHeight="1" x14ac:dyDescent="0.15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 spans="1:26" ht="18" customHeight="1" x14ac:dyDescent="0.15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 spans="1:26" ht="18" customHeight="1" x14ac:dyDescent="0.15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</row>
    <row r="77" spans="1:26" ht="18" customHeight="1" x14ac:dyDescent="0.15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 spans="1:26" ht="18" customHeight="1" x14ac:dyDescent="0.15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</row>
    <row r="79" spans="1:26" ht="18" customHeight="1" x14ac:dyDescent="0.15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</row>
    <row r="80" spans="1:26" ht="18" customHeight="1" x14ac:dyDescent="0.15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</row>
    <row r="81" spans="1:26" ht="18" customHeight="1" x14ac:dyDescent="0.15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</row>
    <row r="82" spans="1:26" ht="18" customHeight="1" x14ac:dyDescent="0.15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 spans="1:26" ht="18" customHeight="1" x14ac:dyDescent="0.15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</row>
    <row r="84" spans="1:26" ht="18" customHeight="1" x14ac:dyDescent="0.15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</row>
    <row r="85" spans="1:26" ht="18" customHeight="1" x14ac:dyDescent="0.15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</row>
    <row r="86" spans="1:26" ht="18" customHeight="1" x14ac:dyDescent="0.15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</row>
    <row r="87" spans="1:26" ht="18" customHeight="1" x14ac:dyDescent="0.15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</row>
    <row r="88" spans="1:26" ht="18" customHeight="1" x14ac:dyDescent="0.15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</row>
    <row r="89" spans="1:26" ht="18" customHeight="1" x14ac:dyDescent="0.15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</row>
    <row r="90" spans="1:26" ht="18" customHeight="1" x14ac:dyDescent="0.15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</row>
    <row r="91" spans="1:26" ht="18" customHeight="1" x14ac:dyDescent="0.15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</row>
    <row r="92" spans="1:26" ht="18" customHeight="1" x14ac:dyDescent="0.15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</row>
    <row r="93" spans="1:26" ht="18" customHeight="1" x14ac:dyDescent="0.15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 spans="1:26" ht="18" customHeight="1" x14ac:dyDescent="0.15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 spans="1:26" ht="18" customHeight="1" x14ac:dyDescent="0.15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 spans="1:26" ht="18" customHeight="1" x14ac:dyDescent="0.15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 spans="1:26" ht="18" customHeight="1" x14ac:dyDescent="0.15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 spans="1:26" ht="18" customHeight="1" x14ac:dyDescent="0.15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</row>
    <row r="99" spans="1:26" ht="18" customHeight="1" x14ac:dyDescent="0.15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</row>
    <row r="100" spans="1:26" ht="18" customHeight="1" x14ac:dyDescent="0.15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</row>
    <row r="101" spans="1:26" ht="18" customHeight="1" x14ac:dyDescent="0.15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</row>
    <row r="102" spans="1:26" ht="18" customHeight="1" x14ac:dyDescent="0.15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</row>
    <row r="103" spans="1:26" ht="18" customHeight="1" x14ac:dyDescent="0.15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</row>
    <row r="104" spans="1:26" ht="18" customHeight="1" x14ac:dyDescent="0.15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</row>
    <row r="105" spans="1:26" ht="18" customHeight="1" x14ac:dyDescent="0.15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</row>
    <row r="106" spans="1:26" ht="18" customHeight="1" x14ac:dyDescent="0.15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</row>
    <row r="107" spans="1:26" ht="18" customHeight="1" x14ac:dyDescent="0.15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</row>
    <row r="108" spans="1:26" ht="18" customHeight="1" x14ac:dyDescent="0.15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</row>
    <row r="109" spans="1:26" ht="18" customHeight="1" x14ac:dyDescent="0.15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</row>
    <row r="110" spans="1:26" ht="18" customHeight="1" x14ac:dyDescent="0.15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</row>
    <row r="111" spans="1:26" ht="18" customHeight="1" x14ac:dyDescent="0.15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</row>
    <row r="112" spans="1:26" ht="18" customHeight="1" x14ac:dyDescent="0.15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</row>
    <row r="113" spans="1:26" ht="18" customHeight="1" x14ac:dyDescent="0.15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</row>
    <row r="114" spans="1:26" ht="18" customHeight="1" x14ac:dyDescent="0.15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</row>
    <row r="115" spans="1:26" ht="18" customHeight="1" x14ac:dyDescent="0.15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</row>
    <row r="116" spans="1:26" ht="18" customHeight="1" x14ac:dyDescent="0.15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</row>
    <row r="117" spans="1:26" ht="18" customHeight="1" x14ac:dyDescent="0.15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</row>
    <row r="118" spans="1:26" ht="18" customHeight="1" x14ac:dyDescent="0.15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</row>
    <row r="119" spans="1:26" ht="18" customHeight="1" x14ac:dyDescent="0.15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</row>
    <row r="120" spans="1:26" ht="18" customHeight="1" x14ac:dyDescent="0.15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</row>
    <row r="121" spans="1:26" ht="18" customHeight="1" x14ac:dyDescent="0.15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</row>
    <row r="122" spans="1:26" ht="18" customHeight="1" x14ac:dyDescent="0.15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</row>
    <row r="123" spans="1:26" ht="18" customHeight="1" x14ac:dyDescent="0.15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</row>
    <row r="124" spans="1:26" ht="18" customHeight="1" x14ac:dyDescent="0.15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</row>
    <row r="125" spans="1:26" ht="18" customHeight="1" x14ac:dyDescent="0.15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</row>
    <row r="126" spans="1:26" ht="18" customHeight="1" x14ac:dyDescent="0.15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</row>
    <row r="127" spans="1:26" ht="18" customHeight="1" x14ac:dyDescent="0.15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</row>
    <row r="128" spans="1:26" ht="18" customHeight="1" x14ac:dyDescent="0.15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</row>
    <row r="129" spans="1:26" ht="18" customHeight="1" x14ac:dyDescent="0.15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</row>
    <row r="130" spans="1:26" ht="18" customHeight="1" x14ac:dyDescent="0.15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</row>
    <row r="131" spans="1:26" ht="18" customHeight="1" x14ac:dyDescent="0.15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</row>
    <row r="132" spans="1:26" ht="18" customHeight="1" x14ac:dyDescent="0.15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</row>
    <row r="133" spans="1:26" ht="18" customHeight="1" x14ac:dyDescent="0.15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</row>
    <row r="134" spans="1:26" ht="18" customHeight="1" x14ac:dyDescent="0.15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</row>
    <row r="135" spans="1:26" ht="18" customHeight="1" x14ac:dyDescent="0.15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</row>
    <row r="136" spans="1:26" ht="18" customHeight="1" x14ac:dyDescent="0.15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</row>
    <row r="137" spans="1:26" ht="18" customHeight="1" x14ac:dyDescent="0.15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</row>
    <row r="138" spans="1:26" ht="18" customHeight="1" x14ac:dyDescent="0.15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</row>
    <row r="139" spans="1:26" ht="18" customHeight="1" x14ac:dyDescent="0.15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</row>
    <row r="140" spans="1:26" ht="18" customHeight="1" x14ac:dyDescent="0.15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</row>
    <row r="141" spans="1:26" ht="18" customHeight="1" x14ac:dyDescent="0.15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</row>
    <row r="142" spans="1:26" ht="18" customHeight="1" x14ac:dyDescent="0.15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</row>
    <row r="143" spans="1:26" ht="18" customHeight="1" x14ac:dyDescent="0.15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</row>
    <row r="144" spans="1:26" ht="18" customHeight="1" x14ac:dyDescent="0.15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</row>
    <row r="145" spans="1:26" ht="18" customHeight="1" x14ac:dyDescent="0.15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</row>
    <row r="146" spans="1:26" ht="18" customHeight="1" x14ac:dyDescent="0.15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</row>
    <row r="147" spans="1:26" ht="18" customHeight="1" x14ac:dyDescent="0.15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</row>
    <row r="148" spans="1:26" ht="18" customHeight="1" x14ac:dyDescent="0.15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</row>
    <row r="149" spans="1:26" ht="18" customHeight="1" x14ac:dyDescent="0.15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</row>
    <row r="150" spans="1:26" ht="18" customHeight="1" x14ac:dyDescent="0.15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</row>
    <row r="151" spans="1:26" ht="18" customHeight="1" x14ac:dyDescent="0.15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</row>
    <row r="152" spans="1:26" ht="18" customHeight="1" x14ac:dyDescent="0.15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</row>
    <row r="153" spans="1:26" ht="18" customHeight="1" x14ac:dyDescent="0.15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</row>
    <row r="154" spans="1:26" ht="18" customHeight="1" x14ac:dyDescent="0.15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</row>
    <row r="155" spans="1:26" ht="18" customHeight="1" x14ac:dyDescent="0.15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</row>
    <row r="156" spans="1:26" ht="18" customHeight="1" x14ac:dyDescent="0.15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</row>
    <row r="157" spans="1:26" ht="18" customHeight="1" x14ac:dyDescent="0.15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</row>
    <row r="158" spans="1:26" ht="18" customHeight="1" x14ac:dyDescent="0.15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</row>
    <row r="159" spans="1:26" ht="18" customHeight="1" x14ac:dyDescent="0.15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</row>
    <row r="160" spans="1:26" ht="18" customHeight="1" x14ac:dyDescent="0.15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</row>
    <row r="161" spans="1:26" ht="18" customHeight="1" x14ac:dyDescent="0.15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</row>
    <row r="162" spans="1:26" ht="18" customHeight="1" x14ac:dyDescent="0.15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</row>
    <row r="163" spans="1:26" ht="18" customHeight="1" x14ac:dyDescent="0.15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</row>
    <row r="164" spans="1:26" ht="18" customHeight="1" x14ac:dyDescent="0.15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</row>
    <row r="165" spans="1:26" ht="18" customHeight="1" x14ac:dyDescent="0.15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</row>
    <row r="166" spans="1:26" ht="18" customHeight="1" x14ac:dyDescent="0.15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</row>
    <row r="167" spans="1:26" ht="18" customHeight="1" x14ac:dyDescent="0.15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</row>
    <row r="168" spans="1:26" ht="18" customHeight="1" x14ac:dyDescent="0.15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</row>
    <row r="169" spans="1:26" ht="18" customHeight="1" x14ac:dyDescent="0.15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</row>
    <row r="170" spans="1:26" ht="18" customHeight="1" x14ac:dyDescent="0.15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</row>
    <row r="171" spans="1:26" ht="18" customHeight="1" x14ac:dyDescent="0.15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</row>
    <row r="172" spans="1:26" ht="18" customHeight="1" x14ac:dyDescent="0.15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</row>
    <row r="173" spans="1:26" ht="18" customHeight="1" x14ac:dyDescent="0.15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</row>
    <row r="174" spans="1:26" ht="18" customHeight="1" x14ac:dyDescent="0.15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</row>
    <row r="175" spans="1:26" ht="18" customHeight="1" x14ac:dyDescent="0.15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</row>
    <row r="176" spans="1:26" ht="18" customHeight="1" x14ac:dyDescent="0.15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</row>
    <row r="177" spans="1:26" ht="18" customHeight="1" x14ac:dyDescent="0.15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</row>
    <row r="178" spans="1:26" ht="18" customHeight="1" x14ac:dyDescent="0.15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</row>
    <row r="179" spans="1:26" ht="18" customHeight="1" x14ac:dyDescent="0.15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</row>
    <row r="180" spans="1:26" ht="18" customHeight="1" x14ac:dyDescent="0.15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</row>
    <row r="181" spans="1:26" ht="18" customHeight="1" x14ac:dyDescent="0.15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</row>
    <row r="182" spans="1:26" ht="18" customHeight="1" x14ac:dyDescent="0.15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</row>
    <row r="183" spans="1:26" ht="18" customHeight="1" x14ac:dyDescent="0.15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</row>
    <row r="184" spans="1:26" ht="18" customHeight="1" x14ac:dyDescent="0.15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</row>
    <row r="185" spans="1:26" ht="18" customHeight="1" x14ac:dyDescent="0.15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</row>
    <row r="186" spans="1:26" ht="18" customHeight="1" x14ac:dyDescent="0.15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</row>
    <row r="187" spans="1:26" ht="18" customHeight="1" x14ac:dyDescent="0.15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</row>
    <row r="188" spans="1:26" ht="18" customHeight="1" x14ac:dyDescent="0.15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</row>
    <row r="189" spans="1:26" ht="18" customHeight="1" x14ac:dyDescent="0.15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</row>
    <row r="190" spans="1:26" ht="18" customHeight="1" x14ac:dyDescent="0.15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</row>
    <row r="191" spans="1:26" ht="18" customHeight="1" x14ac:dyDescent="0.15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</row>
    <row r="192" spans="1:26" ht="18" customHeight="1" x14ac:dyDescent="0.15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</row>
    <row r="193" spans="1:26" ht="18" customHeight="1" x14ac:dyDescent="0.15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</row>
    <row r="194" spans="1:26" ht="18" customHeight="1" x14ac:dyDescent="0.15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</row>
    <row r="195" spans="1:26" ht="18" customHeight="1" x14ac:dyDescent="0.15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</row>
    <row r="196" spans="1:26" ht="18" customHeight="1" x14ac:dyDescent="0.15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</row>
    <row r="197" spans="1:26" ht="18" customHeight="1" x14ac:dyDescent="0.15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</row>
    <row r="198" spans="1:26" ht="18" customHeight="1" x14ac:dyDescent="0.15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</row>
    <row r="199" spans="1:26" ht="18" customHeight="1" x14ac:dyDescent="0.15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</row>
    <row r="200" spans="1:26" ht="18" customHeight="1" x14ac:dyDescent="0.15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</row>
    <row r="201" spans="1:26" ht="18" customHeight="1" x14ac:dyDescent="0.15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</row>
    <row r="202" spans="1:26" ht="18" customHeight="1" x14ac:dyDescent="0.15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</row>
    <row r="203" spans="1:26" ht="18" customHeight="1" x14ac:dyDescent="0.15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</row>
    <row r="204" spans="1:26" ht="18" customHeight="1" x14ac:dyDescent="0.15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</row>
    <row r="205" spans="1:26" ht="18" customHeight="1" x14ac:dyDescent="0.15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</row>
    <row r="206" spans="1:26" ht="18" customHeight="1" x14ac:dyDescent="0.15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</row>
    <row r="207" spans="1:26" ht="18" customHeight="1" x14ac:dyDescent="0.15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</row>
    <row r="208" spans="1:26" ht="18" customHeight="1" x14ac:dyDescent="0.15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</row>
    <row r="209" spans="1:26" ht="18" customHeight="1" x14ac:dyDescent="0.15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</row>
    <row r="210" spans="1:26" ht="18" customHeight="1" x14ac:dyDescent="0.15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</row>
    <row r="211" spans="1:26" ht="18" customHeight="1" x14ac:dyDescent="0.15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</row>
    <row r="212" spans="1:26" ht="18" customHeight="1" x14ac:dyDescent="0.15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</row>
    <row r="213" spans="1:26" ht="18" customHeight="1" x14ac:dyDescent="0.15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</row>
    <row r="214" spans="1:26" ht="18" customHeight="1" x14ac:dyDescent="0.15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</row>
    <row r="215" spans="1:26" ht="18" customHeight="1" x14ac:dyDescent="0.15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</row>
    <row r="216" spans="1:26" ht="18" customHeight="1" x14ac:dyDescent="0.15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</row>
    <row r="217" spans="1:26" ht="18" customHeight="1" x14ac:dyDescent="0.15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</row>
    <row r="218" spans="1:26" ht="18" customHeight="1" x14ac:dyDescent="0.15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</row>
    <row r="219" spans="1:26" ht="18" customHeight="1" x14ac:dyDescent="0.15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</row>
    <row r="220" spans="1:26" ht="18" customHeight="1" x14ac:dyDescent="0.15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</row>
    <row r="221" spans="1:26" ht="18" customHeight="1" x14ac:dyDescent="0.15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</row>
    <row r="222" spans="1:26" ht="18" customHeight="1" x14ac:dyDescent="0.15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</row>
    <row r="223" spans="1:26" ht="18" customHeight="1" x14ac:dyDescent="0.15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</row>
    <row r="224" spans="1:26" ht="18" customHeight="1" x14ac:dyDescent="0.15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</row>
    <row r="225" spans="1:26" ht="18" customHeight="1" x14ac:dyDescent="0.15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</row>
    <row r="226" spans="1:26" ht="18" customHeight="1" x14ac:dyDescent="0.15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</row>
    <row r="227" spans="1:26" ht="18" customHeight="1" x14ac:dyDescent="0.15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</row>
    <row r="228" spans="1:26" ht="18" customHeight="1" x14ac:dyDescent="0.15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</row>
    <row r="229" spans="1:26" ht="18" customHeight="1" x14ac:dyDescent="0.15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</row>
    <row r="230" spans="1:26" ht="18" customHeight="1" x14ac:dyDescent="0.15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</row>
    <row r="231" spans="1:26" ht="18" customHeight="1" x14ac:dyDescent="0.15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</row>
    <row r="232" spans="1:26" ht="18" customHeight="1" x14ac:dyDescent="0.15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</row>
    <row r="233" spans="1:26" ht="18" customHeight="1" x14ac:dyDescent="0.15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</row>
    <row r="234" spans="1:26" ht="18" customHeight="1" x14ac:dyDescent="0.15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</row>
    <row r="235" spans="1:26" ht="18" customHeight="1" x14ac:dyDescent="0.15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</row>
    <row r="236" spans="1:26" ht="18" customHeight="1" x14ac:dyDescent="0.15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</row>
    <row r="237" spans="1:26" ht="18" customHeight="1" x14ac:dyDescent="0.15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</row>
    <row r="238" spans="1:26" ht="18" customHeight="1" x14ac:dyDescent="0.15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</row>
    <row r="239" spans="1:26" ht="18" customHeight="1" x14ac:dyDescent="0.15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</row>
    <row r="240" spans="1:26" ht="18" customHeight="1" x14ac:dyDescent="0.15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</row>
    <row r="241" spans="1:26" ht="18" customHeight="1" x14ac:dyDescent="0.15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</row>
    <row r="242" spans="1:26" ht="18" customHeight="1" x14ac:dyDescent="0.15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</row>
    <row r="243" spans="1:26" ht="18" customHeight="1" x14ac:dyDescent="0.15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</row>
    <row r="244" spans="1:26" ht="18" customHeight="1" x14ac:dyDescent="0.15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</row>
    <row r="245" spans="1:26" ht="18" customHeight="1" x14ac:dyDescent="0.15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</row>
    <row r="246" spans="1:26" ht="18" customHeight="1" x14ac:dyDescent="0.15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</row>
    <row r="247" spans="1:26" ht="18" customHeight="1" x14ac:dyDescent="0.15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</row>
    <row r="248" spans="1:26" ht="18" customHeight="1" x14ac:dyDescent="0.15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</row>
    <row r="249" spans="1:26" ht="18" customHeight="1" x14ac:dyDescent="0.15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</row>
    <row r="250" spans="1:26" ht="18" customHeight="1" x14ac:dyDescent="0.15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</row>
    <row r="251" spans="1:26" ht="18" customHeight="1" x14ac:dyDescent="0.15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</row>
    <row r="252" spans="1:26" ht="18" customHeight="1" x14ac:dyDescent="0.15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</row>
    <row r="253" spans="1:26" ht="18" customHeight="1" x14ac:dyDescent="0.15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</row>
    <row r="254" spans="1:26" ht="18" customHeight="1" x14ac:dyDescent="0.15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</row>
    <row r="255" spans="1:26" ht="18" customHeight="1" x14ac:dyDescent="0.15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</row>
    <row r="256" spans="1:26" ht="18" customHeight="1" x14ac:dyDescent="0.15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</row>
    <row r="257" spans="1:26" ht="18" customHeight="1" x14ac:dyDescent="0.15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</row>
    <row r="258" spans="1:26" ht="18" customHeight="1" x14ac:dyDescent="0.15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</row>
    <row r="259" spans="1:26" ht="18" customHeight="1" x14ac:dyDescent="0.15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</row>
    <row r="260" spans="1:26" ht="18" customHeight="1" x14ac:dyDescent="0.15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</row>
    <row r="261" spans="1:26" ht="18" customHeight="1" x14ac:dyDescent="0.15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</row>
    <row r="262" spans="1:26" ht="18" customHeight="1" x14ac:dyDescent="0.15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</row>
    <row r="263" spans="1:26" ht="18" customHeight="1" x14ac:dyDescent="0.15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</row>
    <row r="264" spans="1:26" ht="18" customHeight="1" x14ac:dyDescent="0.15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</row>
    <row r="265" spans="1:26" ht="18" customHeight="1" x14ac:dyDescent="0.15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</row>
    <row r="266" spans="1:26" ht="18" customHeight="1" x14ac:dyDescent="0.15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</row>
    <row r="267" spans="1:26" ht="18" customHeight="1" x14ac:dyDescent="0.15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</row>
    <row r="268" spans="1:26" ht="18" customHeight="1" x14ac:dyDescent="0.15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</row>
    <row r="269" spans="1:26" ht="18" customHeight="1" x14ac:dyDescent="0.15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</row>
    <row r="270" spans="1:26" ht="18" customHeight="1" x14ac:dyDescent="0.15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</row>
    <row r="271" spans="1:26" ht="18" customHeight="1" x14ac:dyDescent="0.15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</row>
    <row r="272" spans="1:26" ht="18" customHeight="1" x14ac:dyDescent="0.15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</row>
    <row r="273" spans="1:26" ht="18" customHeight="1" x14ac:dyDescent="0.15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</row>
    <row r="274" spans="1:26" ht="18" customHeight="1" x14ac:dyDescent="0.15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</row>
    <row r="275" spans="1:26" ht="18" customHeight="1" x14ac:dyDescent="0.15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</row>
    <row r="276" spans="1:26" ht="18" customHeight="1" x14ac:dyDescent="0.15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</row>
    <row r="277" spans="1:26" ht="18" customHeight="1" x14ac:dyDescent="0.15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</row>
    <row r="278" spans="1:26" ht="18" customHeight="1" x14ac:dyDescent="0.15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</row>
    <row r="279" spans="1:26" ht="18" customHeight="1" x14ac:dyDescent="0.15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</row>
    <row r="280" spans="1:26" ht="18" customHeight="1" x14ac:dyDescent="0.15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</row>
    <row r="281" spans="1:26" ht="18" customHeight="1" x14ac:dyDescent="0.15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</row>
    <row r="282" spans="1:26" ht="18" customHeight="1" x14ac:dyDescent="0.15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</row>
    <row r="283" spans="1:26" ht="18" customHeight="1" x14ac:dyDescent="0.15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</row>
    <row r="284" spans="1:26" ht="18" customHeight="1" x14ac:dyDescent="0.15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</row>
    <row r="285" spans="1:26" ht="18" customHeight="1" x14ac:dyDescent="0.15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</row>
    <row r="286" spans="1:26" ht="18" customHeight="1" x14ac:dyDescent="0.15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</row>
    <row r="287" spans="1:26" ht="18" customHeight="1" x14ac:dyDescent="0.15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</row>
    <row r="288" spans="1:26" ht="18" customHeight="1" x14ac:dyDescent="0.15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</row>
    <row r="289" spans="1:26" ht="18" customHeight="1" x14ac:dyDescent="0.15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</row>
    <row r="290" spans="1:26" ht="18" customHeight="1" x14ac:dyDescent="0.15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</row>
    <row r="291" spans="1:26" ht="18" customHeight="1" x14ac:dyDescent="0.15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</row>
    <row r="292" spans="1:26" ht="18" customHeight="1" x14ac:dyDescent="0.15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</row>
    <row r="293" spans="1:26" ht="18" customHeight="1" x14ac:dyDescent="0.15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</row>
    <row r="294" spans="1:26" ht="18" customHeight="1" x14ac:dyDescent="0.15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</row>
    <row r="295" spans="1:26" ht="18" customHeight="1" x14ac:dyDescent="0.15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</row>
    <row r="296" spans="1:26" ht="18" customHeight="1" x14ac:dyDescent="0.15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</row>
    <row r="297" spans="1:26" ht="18" customHeight="1" x14ac:dyDescent="0.15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</row>
    <row r="298" spans="1:26" ht="18" customHeight="1" x14ac:dyDescent="0.15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</row>
    <row r="299" spans="1:26" ht="18" customHeight="1" x14ac:dyDescent="0.15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</row>
    <row r="300" spans="1:26" ht="18" customHeight="1" x14ac:dyDescent="0.15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</row>
    <row r="301" spans="1:26" ht="18" customHeight="1" x14ac:dyDescent="0.15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</row>
    <row r="302" spans="1:26" ht="18" customHeight="1" x14ac:dyDescent="0.15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</row>
    <row r="303" spans="1:26" ht="18" customHeight="1" x14ac:dyDescent="0.15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</row>
    <row r="304" spans="1:26" ht="18" customHeight="1" x14ac:dyDescent="0.15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</row>
    <row r="305" spans="1:26" ht="18" customHeight="1" x14ac:dyDescent="0.15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</row>
    <row r="306" spans="1:26" ht="18" customHeight="1" x14ac:dyDescent="0.15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</row>
    <row r="307" spans="1:26" ht="18" customHeight="1" x14ac:dyDescent="0.15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</row>
    <row r="308" spans="1:26" ht="18" customHeight="1" x14ac:dyDescent="0.15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</row>
    <row r="309" spans="1:26" ht="18" customHeight="1" x14ac:dyDescent="0.15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</row>
    <row r="310" spans="1:26" ht="18" customHeight="1" x14ac:dyDescent="0.15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</row>
    <row r="311" spans="1:26" ht="18" customHeight="1" x14ac:dyDescent="0.15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</row>
    <row r="312" spans="1:26" ht="18" customHeight="1" x14ac:dyDescent="0.15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</row>
    <row r="313" spans="1:26" ht="18" customHeight="1" x14ac:dyDescent="0.15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</row>
    <row r="314" spans="1:26" ht="18" customHeight="1" x14ac:dyDescent="0.15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</row>
    <row r="315" spans="1:26" ht="18" customHeight="1" x14ac:dyDescent="0.15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</row>
    <row r="316" spans="1:26" ht="18" customHeight="1" x14ac:dyDescent="0.15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</row>
    <row r="317" spans="1:26" ht="18" customHeight="1" x14ac:dyDescent="0.15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</row>
    <row r="318" spans="1:26" ht="18" customHeight="1" x14ac:dyDescent="0.15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</row>
    <row r="319" spans="1:26" ht="18" customHeight="1" x14ac:dyDescent="0.15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</row>
    <row r="320" spans="1:26" ht="18" customHeight="1" x14ac:dyDescent="0.15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</row>
    <row r="321" spans="1:26" ht="18" customHeight="1" x14ac:dyDescent="0.15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</row>
    <row r="322" spans="1:26" ht="18" customHeight="1" x14ac:dyDescent="0.15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</row>
    <row r="323" spans="1:26" ht="18" customHeight="1" x14ac:dyDescent="0.15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</row>
    <row r="324" spans="1:26" ht="18" customHeight="1" x14ac:dyDescent="0.15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</row>
    <row r="325" spans="1:26" ht="18" customHeight="1" x14ac:dyDescent="0.15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</row>
    <row r="326" spans="1:26" ht="18" customHeight="1" x14ac:dyDescent="0.15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</row>
    <row r="327" spans="1:26" ht="18" customHeight="1" x14ac:dyDescent="0.15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</row>
    <row r="328" spans="1:26" ht="18" customHeight="1" x14ac:dyDescent="0.15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</row>
    <row r="329" spans="1:26" ht="18" customHeight="1" x14ac:dyDescent="0.15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</row>
    <row r="330" spans="1:26" ht="18" customHeight="1" x14ac:dyDescent="0.15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</row>
    <row r="331" spans="1:26" ht="18" customHeight="1" x14ac:dyDescent="0.15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</row>
    <row r="332" spans="1:26" ht="18" customHeight="1" x14ac:dyDescent="0.15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</row>
    <row r="333" spans="1:26" ht="18" customHeight="1" x14ac:dyDescent="0.15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</row>
    <row r="334" spans="1:26" ht="18" customHeight="1" x14ac:dyDescent="0.15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</row>
    <row r="335" spans="1:26" ht="18" customHeight="1" x14ac:dyDescent="0.15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</row>
    <row r="336" spans="1:26" ht="18" customHeight="1" x14ac:dyDescent="0.15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</row>
    <row r="337" spans="1:26" ht="18" customHeight="1" x14ac:dyDescent="0.15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</row>
    <row r="338" spans="1:26" ht="18" customHeight="1" x14ac:dyDescent="0.15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</row>
    <row r="339" spans="1:26" ht="18" customHeight="1" x14ac:dyDescent="0.15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</row>
    <row r="340" spans="1:26" ht="18" customHeight="1" x14ac:dyDescent="0.15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</row>
    <row r="341" spans="1:26" ht="18" customHeight="1" x14ac:dyDescent="0.15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</row>
    <row r="342" spans="1:26" ht="18" customHeight="1" x14ac:dyDescent="0.15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</row>
    <row r="343" spans="1:26" ht="18" customHeight="1" x14ac:dyDescent="0.15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</row>
    <row r="344" spans="1:26" ht="18" customHeight="1" x14ac:dyDescent="0.15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</row>
    <row r="345" spans="1:26" ht="18" customHeight="1" x14ac:dyDescent="0.1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</row>
    <row r="346" spans="1:26" ht="18" customHeight="1" x14ac:dyDescent="0.15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</row>
    <row r="347" spans="1:26" ht="18" customHeight="1" x14ac:dyDescent="0.15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</row>
    <row r="348" spans="1:26" ht="18" customHeight="1" x14ac:dyDescent="0.15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</row>
    <row r="349" spans="1:26" ht="18" customHeight="1" x14ac:dyDescent="0.15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</row>
    <row r="350" spans="1:26" ht="18" customHeight="1" x14ac:dyDescent="0.15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</row>
    <row r="351" spans="1:26" ht="18" customHeight="1" x14ac:dyDescent="0.15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</row>
    <row r="352" spans="1:26" ht="18" customHeight="1" x14ac:dyDescent="0.15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</row>
    <row r="353" spans="1:26" ht="18" customHeight="1" x14ac:dyDescent="0.15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</row>
    <row r="354" spans="1:26" ht="18" customHeight="1" x14ac:dyDescent="0.15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</row>
    <row r="355" spans="1:26" ht="18" customHeight="1" x14ac:dyDescent="0.1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</row>
    <row r="356" spans="1:26" ht="18" customHeight="1" x14ac:dyDescent="0.15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</row>
    <row r="357" spans="1:26" ht="18" customHeight="1" x14ac:dyDescent="0.15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</row>
    <row r="358" spans="1:26" ht="18" customHeight="1" x14ac:dyDescent="0.15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</row>
    <row r="359" spans="1:26" ht="18" customHeight="1" x14ac:dyDescent="0.15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</row>
    <row r="360" spans="1:26" ht="18" customHeight="1" x14ac:dyDescent="0.15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</row>
    <row r="361" spans="1:26" ht="18" customHeight="1" x14ac:dyDescent="0.15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</row>
    <row r="362" spans="1:26" ht="18" customHeight="1" x14ac:dyDescent="0.15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</row>
    <row r="363" spans="1:26" ht="18" customHeight="1" x14ac:dyDescent="0.15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</row>
    <row r="364" spans="1:26" ht="18" customHeight="1" x14ac:dyDescent="0.15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</row>
    <row r="365" spans="1:26" ht="18" customHeight="1" x14ac:dyDescent="0.1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</row>
    <row r="366" spans="1:26" ht="18" customHeight="1" x14ac:dyDescent="0.15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</row>
    <row r="367" spans="1:26" ht="18" customHeight="1" x14ac:dyDescent="0.15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</row>
    <row r="368" spans="1:26" ht="18" customHeight="1" x14ac:dyDescent="0.15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</row>
    <row r="369" spans="1:26" ht="18" customHeight="1" x14ac:dyDescent="0.15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</row>
    <row r="370" spans="1:26" ht="18" customHeight="1" x14ac:dyDescent="0.15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</row>
    <row r="371" spans="1:26" ht="18" customHeight="1" x14ac:dyDescent="0.15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</row>
    <row r="372" spans="1:26" ht="18" customHeight="1" x14ac:dyDescent="0.15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</row>
    <row r="373" spans="1:26" ht="18" customHeight="1" x14ac:dyDescent="0.15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</row>
    <row r="374" spans="1:26" ht="18" customHeight="1" x14ac:dyDescent="0.15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</row>
    <row r="375" spans="1:26" ht="18" customHeight="1" x14ac:dyDescent="0.1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</row>
    <row r="376" spans="1:26" ht="18" customHeight="1" x14ac:dyDescent="0.15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</row>
    <row r="377" spans="1:26" ht="18" customHeight="1" x14ac:dyDescent="0.15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</row>
    <row r="378" spans="1:26" ht="18" customHeight="1" x14ac:dyDescent="0.15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</row>
    <row r="379" spans="1:26" ht="18" customHeight="1" x14ac:dyDescent="0.15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</row>
    <row r="380" spans="1:26" ht="18" customHeight="1" x14ac:dyDescent="0.15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</row>
    <row r="381" spans="1:26" ht="18" customHeight="1" x14ac:dyDescent="0.15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</row>
    <row r="382" spans="1:26" ht="18" customHeight="1" x14ac:dyDescent="0.15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</row>
    <row r="383" spans="1:26" ht="18" customHeight="1" x14ac:dyDescent="0.15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</row>
    <row r="384" spans="1:26" ht="18" customHeight="1" x14ac:dyDescent="0.15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</row>
    <row r="385" spans="1:26" ht="18" customHeight="1" x14ac:dyDescent="0.1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</row>
    <row r="386" spans="1:26" ht="18" customHeight="1" x14ac:dyDescent="0.15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</row>
    <row r="387" spans="1:26" ht="18" customHeight="1" x14ac:dyDescent="0.15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</row>
    <row r="388" spans="1:26" ht="18" customHeight="1" x14ac:dyDescent="0.15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</row>
    <row r="389" spans="1:26" ht="18" customHeight="1" x14ac:dyDescent="0.15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</row>
    <row r="390" spans="1:26" ht="18" customHeight="1" x14ac:dyDescent="0.15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</row>
    <row r="391" spans="1:26" ht="18" customHeight="1" x14ac:dyDescent="0.15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</row>
    <row r="392" spans="1:26" ht="18" customHeight="1" x14ac:dyDescent="0.15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</row>
    <row r="393" spans="1:26" ht="18" customHeight="1" x14ac:dyDescent="0.15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</row>
    <row r="394" spans="1:26" ht="18" customHeight="1" x14ac:dyDescent="0.15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</row>
    <row r="395" spans="1:26" ht="18" customHeight="1" x14ac:dyDescent="0.1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</row>
    <row r="396" spans="1:26" ht="18" customHeight="1" x14ac:dyDescent="0.15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</row>
    <row r="397" spans="1:26" ht="18" customHeight="1" x14ac:dyDescent="0.15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</row>
    <row r="398" spans="1:26" ht="18" customHeight="1" x14ac:dyDescent="0.15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</row>
    <row r="399" spans="1:26" ht="18" customHeight="1" x14ac:dyDescent="0.15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</row>
    <row r="400" spans="1:26" ht="18" customHeight="1" x14ac:dyDescent="0.15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</row>
    <row r="401" spans="1:26" ht="18" customHeight="1" x14ac:dyDescent="0.15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</row>
    <row r="402" spans="1:26" ht="18" customHeight="1" x14ac:dyDescent="0.15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</row>
    <row r="403" spans="1:26" ht="18" customHeight="1" x14ac:dyDescent="0.15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</row>
    <row r="404" spans="1:26" ht="18" customHeight="1" x14ac:dyDescent="0.15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</row>
    <row r="405" spans="1:26" ht="18" customHeight="1" x14ac:dyDescent="0.1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</row>
    <row r="406" spans="1:26" ht="18" customHeight="1" x14ac:dyDescent="0.15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</row>
    <row r="407" spans="1:26" ht="18" customHeight="1" x14ac:dyDescent="0.15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</row>
    <row r="408" spans="1:26" ht="18" customHeight="1" x14ac:dyDescent="0.15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</row>
    <row r="409" spans="1:26" ht="18" customHeight="1" x14ac:dyDescent="0.15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</row>
    <row r="410" spans="1:26" ht="18" customHeight="1" x14ac:dyDescent="0.15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</row>
    <row r="411" spans="1:26" ht="18" customHeight="1" x14ac:dyDescent="0.15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</row>
    <row r="412" spans="1:26" ht="18" customHeight="1" x14ac:dyDescent="0.15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</row>
    <row r="413" spans="1:26" ht="18" customHeight="1" x14ac:dyDescent="0.15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</row>
    <row r="414" spans="1:26" ht="18" customHeight="1" x14ac:dyDescent="0.15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</row>
    <row r="415" spans="1:26" ht="18" customHeight="1" x14ac:dyDescent="0.1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</row>
    <row r="416" spans="1:26" ht="18" customHeight="1" x14ac:dyDescent="0.15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</row>
    <row r="417" spans="1:26" ht="18" customHeight="1" x14ac:dyDescent="0.15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</row>
    <row r="418" spans="1:26" ht="18" customHeight="1" x14ac:dyDescent="0.15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</row>
    <row r="419" spans="1:26" ht="18" customHeight="1" x14ac:dyDescent="0.15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</row>
    <row r="420" spans="1:26" ht="18" customHeight="1" x14ac:dyDescent="0.15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</row>
    <row r="421" spans="1:26" ht="18" customHeight="1" x14ac:dyDescent="0.15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</row>
    <row r="422" spans="1:26" ht="18" customHeight="1" x14ac:dyDescent="0.15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</row>
    <row r="423" spans="1:26" ht="18" customHeight="1" x14ac:dyDescent="0.15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</row>
    <row r="424" spans="1:26" ht="18" customHeight="1" x14ac:dyDescent="0.15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</row>
    <row r="425" spans="1:26" ht="18" customHeight="1" x14ac:dyDescent="0.1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</row>
    <row r="426" spans="1:26" ht="18" customHeight="1" x14ac:dyDescent="0.15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</row>
    <row r="427" spans="1:26" ht="18" customHeight="1" x14ac:dyDescent="0.15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</row>
    <row r="428" spans="1:26" ht="18" customHeight="1" x14ac:dyDescent="0.15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</row>
    <row r="429" spans="1:26" ht="18" customHeight="1" x14ac:dyDescent="0.15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</row>
    <row r="430" spans="1:26" ht="18" customHeight="1" x14ac:dyDescent="0.15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</row>
    <row r="431" spans="1:26" ht="18" customHeight="1" x14ac:dyDescent="0.15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</row>
    <row r="432" spans="1:26" ht="18" customHeight="1" x14ac:dyDescent="0.15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</row>
    <row r="433" spans="1:26" ht="18" customHeight="1" x14ac:dyDescent="0.15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</row>
    <row r="434" spans="1:26" ht="18" customHeight="1" x14ac:dyDescent="0.15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</row>
    <row r="435" spans="1:26" ht="18" customHeight="1" x14ac:dyDescent="0.1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</row>
    <row r="436" spans="1:26" ht="18" customHeight="1" x14ac:dyDescent="0.15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</row>
    <row r="437" spans="1:26" ht="18" customHeight="1" x14ac:dyDescent="0.15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</row>
    <row r="438" spans="1:26" ht="18" customHeight="1" x14ac:dyDescent="0.15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</row>
    <row r="439" spans="1:26" ht="18" customHeight="1" x14ac:dyDescent="0.15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</row>
    <row r="440" spans="1:26" ht="18" customHeight="1" x14ac:dyDescent="0.15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</row>
    <row r="441" spans="1:26" ht="18" customHeight="1" x14ac:dyDescent="0.15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</row>
    <row r="442" spans="1:26" ht="18" customHeight="1" x14ac:dyDescent="0.15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</row>
    <row r="443" spans="1:26" ht="18" customHeight="1" x14ac:dyDescent="0.15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</row>
    <row r="444" spans="1:26" ht="18" customHeight="1" x14ac:dyDescent="0.15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</row>
    <row r="445" spans="1:26" ht="18" customHeight="1" x14ac:dyDescent="0.1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</row>
    <row r="446" spans="1:26" ht="18" customHeight="1" x14ac:dyDescent="0.15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</row>
    <row r="447" spans="1:26" ht="18" customHeight="1" x14ac:dyDescent="0.15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</row>
    <row r="448" spans="1:26" ht="18" customHeight="1" x14ac:dyDescent="0.15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</row>
    <row r="449" spans="1:26" ht="18" customHeight="1" x14ac:dyDescent="0.15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</row>
    <row r="450" spans="1:26" ht="18" customHeight="1" x14ac:dyDescent="0.15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</row>
    <row r="451" spans="1:26" ht="18" customHeight="1" x14ac:dyDescent="0.15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</row>
    <row r="452" spans="1:26" ht="18" customHeight="1" x14ac:dyDescent="0.15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</row>
    <row r="453" spans="1:26" ht="18" customHeight="1" x14ac:dyDescent="0.15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</row>
    <row r="454" spans="1:26" ht="18" customHeight="1" x14ac:dyDescent="0.15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</row>
    <row r="455" spans="1:26" ht="18" customHeight="1" x14ac:dyDescent="0.1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</row>
    <row r="456" spans="1:26" ht="18" customHeight="1" x14ac:dyDescent="0.15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</row>
    <row r="457" spans="1:26" ht="18" customHeight="1" x14ac:dyDescent="0.15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</row>
    <row r="458" spans="1:26" ht="18" customHeight="1" x14ac:dyDescent="0.15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</row>
    <row r="459" spans="1:26" ht="18" customHeight="1" x14ac:dyDescent="0.15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</row>
    <row r="460" spans="1:26" ht="18" customHeight="1" x14ac:dyDescent="0.15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</row>
    <row r="461" spans="1:26" ht="18" customHeight="1" x14ac:dyDescent="0.15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</row>
    <row r="462" spans="1:26" ht="18" customHeight="1" x14ac:dyDescent="0.15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</row>
    <row r="463" spans="1:26" ht="18" customHeight="1" x14ac:dyDescent="0.15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</row>
    <row r="464" spans="1:26" ht="18" customHeight="1" x14ac:dyDescent="0.15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</row>
    <row r="465" spans="1:26" ht="18" customHeight="1" x14ac:dyDescent="0.1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</row>
    <row r="466" spans="1:26" ht="18" customHeight="1" x14ac:dyDescent="0.15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</row>
    <row r="467" spans="1:26" ht="18" customHeight="1" x14ac:dyDescent="0.15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</row>
    <row r="468" spans="1:26" ht="18" customHeight="1" x14ac:dyDescent="0.15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</row>
    <row r="469" spans="1:26" ht="18" customHeight="1" x14ac:dyDescent="0.15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</row>
    <row r="470" spans="1:26" ht="18" customHeight="1" x14ac:dyDescent="0.15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</row>
    <row r="471" spans="1:26" ht="18" customHeight="1" x14ac:dyDescent="0.15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</row>
    <row r="472" spans="1:26" ht="18" customHeight="1" x14ac:dyDescent="0.15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</row>
    <row r="473" spans="1:26" ht="18" customHeight="1" x14ac:dyDescent="0.15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</row>
    <row r="474" spans="1:26" ht="18" customHeight="1" x14ac:dyDescent="0.15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</row>
    <row r="475" spans="1:26" ht="18" customHeight="1" x14ac:dyDescent="0.1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</row>
    <row r="476" spans="1:26" ht="18" customHeight="1" x14ac:dyDescent="0.15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</row>
    <row r="477" spans="1:26" ht="18" customHeight="1" x14ac:dyDescent="0.15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</row>
    <row r="478" spans="1:26" ht="18" customHeight="1" x14ac:dyDescent="0.15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</row>
    <row r="479" spans="1:26" ht="18" customHeight="1" x14ac:dyDescent="0.15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</row>
    <row r="480" spans="1:26" ht="18" customHeight="1" x14ac:dyDescent="0.15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</row>
    <row r="481" spans="1:26" ht="18" customHeight="1" x14ac:dyDescent="0.15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</row>
    <row r="482" spans="1:26" ht="18" customHeight="1" x14ac:dyDescent="0.15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</row>
    <row r="483" spans="1:26" ht="18" customHeight="1" x14ac:dyDescent="0.15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</row>
    <row r="484" spans="1:26" ht="18" customHeight="1" x14ac:dyDescent="0.15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</row>
    <row r="485" spans="1:26" ht="18" customHeight="1" x14ac:dyDescent="0.1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</row>
    <row r="486" spans="1:26" ht="18" customHeight="1" x14ac:dyDescent="0.15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</row>
    <row r="487" spans="1:26" ht="18" customHeight="1" x14ac:dyDescent="0.15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</row>
    <row r="488" spans="1:26" ht="18" customHeight="1" x14ac:dyDescent="0.15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</row>
    <row r="489" spans="1:26" ht="18" customHeight="1" x14ac:dyDescent="0.15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</row>
    <row r="490" spans="1:26" ht="18" customHeight="1" x14ac:dyDescent="0.15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</row>
    <row r="491" spans="1:26" ht="18" customHeight="1" x14ac:dyDescent="0.15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</row>
    <row r="492" spans="1:26" ht="18" customHeight="1" x14ac:dyDescent="0.15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</row>
    <row r="493" spans="1:26" ht="18" customHeight="1" x14ac:dyDescent="0.15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</row>
    <row r="494" spans="1:26" ht="18" customHeight="1" x14ac:dyDescent="0.15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</row>
    <row r="495" spans="1:26" ht="18" customHeight="1" x14ac:dyDescent="0.1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</row>
    <row r="496" spans="1:26" ht="18" customHeight="1" x14ac:dyDescent="0.15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</row>
    <row r="497" spans="1:26" ht="18" customHeight="1" x14ac:dyDescent="0.15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</row>
    <row r="498" spans="1:26" ht="18" customHeight="1" x14ac:dyDescent="0.15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</row>
    <row r="499" spans="1:26" ht="18" customHeight="1" x14ac:dyDescent="0.15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</row>
    <row r="500" spans="1:26" ht="18" customHeight="1" x14ac:dyDescent="0.15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</row>
    <row r="501" spans="1:26" ht="18" customHeight="1" x14ac:dyDescent="0.15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</row>
    <row r="502" spans="1:26" ht="18" customHeight="1" x14ac:dyDescent="0.15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</row>
    <row r="503" spans="1:26" ht="18" customHeight="1" x14ac:dyDescent="0.15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</row>
    <row r="504" spans="1:26" ht="18" customHeight="1" x14ac:dyDescent="0.15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</row>
    <row r="505" spans="1:26" ht="18" customHeight="1" x14ac:dyDescent="0.1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</row>
    <row r="506" spans="1:26" ht="18" customHeight="1" x14ac:dyDescent="0.15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</row>
    <row r="507" spans="1:26" ht="18" customHeight="1" x14ac:dyDescent="0.15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</row>
    <row r="508" spans="1:26" ht="18" customHeight="1" x14ac:dyDescent="0.15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</row>
    <row r="509" spans="1:26" ht="18" customHeight="1" x14ac:dyDescent="0.15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</row>
    <row r="510" spans="1:26" ht="18" customHeight="1" x14ac:dyDescent="0.15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</row>
    <row r="511" spans="1:26" ht="18" customHeight="1" x14ac:dyDescent="0.15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</row>
    <row r="512" spans="1:26" ht="18" customHeight="1" x14ac:dyDescent="0.15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</row>
    <row r="513" spans="1:26" ht="18" customHeight="1" x14ac:dyDescent="0.15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</row>
    <row r="514" spans="1:26" ht="18" customHeight="1" x14ac:dyDescent="0.15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</row>
    <row r="515" spans="1:26" ht="18" customHeight="1" x14ac:dyDescent="0.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</row>
    <row r="516" spans="1:26" ht="18" customHeight="1" x14ac:dyDescent="0.15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</row>
    <row r="517" spans="1:26" ht="18" customHeight="1" x14ac:dyDescent="0.15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</row>
    <row r="518" spans="1:26" ht="18" customHeight="1" x14ac:dyDescent="0.15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</row>
    <row r="519" spans="1:26" ht="18" customHeight="1" x14ac:dyDescent="0.15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</row>
    <row r="520" spans="1:26" ht="18" customHeight="1" x14ac:dyDescent="0.15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</row>
    <row r="521" spans="1:26" ht="18" customHeight="1" x14ac:dyDescent="0.15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</row>
    <row r="522" spans="1:26" ht="18" customHeight="1" x14ac:dyDescent="0.15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</row>
    <row r="523" spans="1:26" ht="18" customHeight="1" x14ac:dyDescent="0.15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</row>
    <row r="524" spans="1:26" ht="18" customHeight="1" x14ac:dyDescent="0.15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</row>
    <row r="525" spans="1:26" ht="18" customHeight="1" x14ac:dyDescent="0.1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</row>
    <row r="526" spans="1:26" ht="18" customHeight="1" x14ac:dyDescent="0.15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</row>
    <row r="527" spans="1:26" ht="18" customHeight="1" x14ac:dyDescent="0.15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</row>
    <row r="528" spans="1:26" ht="18" customHeight="1" x14ac:dyDescent="0.15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</row>
    <row r="529" spans="1:26" ht="18" customHeight="1" x14ac:dyDescent="0.15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</row>
    <row r="530" spans="1:26" ht="18" customHeight="1" x14ac:dyDescent="0.15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</row>
    <row r="531" spans="1:26" ht="18" customHeight="1" x14ac:dyDescent="0.15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</row>
    <row r="532" spans="1:26" ht="18" customHeight="1" x14ac:dyDescent="0.15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</row>
    <row r="533" spans="1:26" ht="18" customHeight="1" x14ac:dyDescent="0.15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</row>
    <row r="534" spans="1:26" ht="18" customHeight="1" x14ac:dyDescent="0.15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</row>
    <row r="535" spans="1:26" ht="18" customHeight="1" x14ac:dyDescent="0.1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</row>
    <row r="536" spans="1:26" ht="18" customHeight="1" x14ac:dyDescent="0.15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</row>
    <row r="537" spans="1:26" ht="18" customHeight="1" x14ac:dyDescent="0.15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</row>
    <row r="538" spans="1:26" ht="18" customHeight="1" x14ac:dyDescent="0.15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</row>
    <row r="539" spans="1:26" ht="18" customHeight="1" x14ac:dyDescent="0.15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</row>
    <row r="540" spans="1:26" ht="18" customHeight="1" x14ac:dyDescent="0.15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</row>
    <row r="541" spans="1:26" ht="18" customHeight="1" x14ac:dyDescent="0.15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</row>
    <row r="542" spans="1:26" ht="18" customHeight="1" x14ac:dyDescent="0.15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</row>
    <row r="543" spans="1:26" ht="18" customHeight="1" x14ac:dyDescent="0.15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</row>
    <row r="544" spans="1:26" ht="18" customHeight="1" x14ac:dyDescent="0.15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</row>
    <row r="545" spans="1:26" ht="18" customHeight="1" x14ac:dyDescent="0.1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</row>
    <row r="546" spans="1:26" ht="18" customHeight="1" x14ac:dyDescent="0.15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</row>
    <row r="547" spans="1:26" ht="18" customHeight="1" x14ac:dyDescent="0.15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</row>
    <row r="548" spans="1:26" ht="18" customHeight="1" x14ac:dyDescent="0.15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</row>
    <row r="549" spans="1:26" ht="18" customHeight="1" x14ac:dyDescent="0.15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</row>
    <row r="550" spans="1:26" ht="18" customHeight="1" x14ac:dyDescent="0.15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</row>
    <row r="551" spans="1:26" ht="18" customHeight="1" x14ac:dyDescent="0.15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</row>
    <row r="552" spans="1:26" ht="18" customHeight="1" x14ac:dyDescent="0.15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</row>
    <row r="553" spans="1:26" ht="18" customHeight="1" x14ac:dyDescent="0.15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</row>
    <row r="554" spans="1:26" ht="18" customHeight="1" x14ac:dyDescent="0.15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</row>
    <row r="555" spans="1:26" ht="18" customHeight="1" x14ac:dyDescent="0.1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</row>
    <row r="556" spans="1:26" ht="18" customHeight="1" x14ac:dyDescent="0.15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</row>
    <row r="557" spans="1:26" ht="18" customHeight="1" x14ac:dyDescent="0.15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</row>
    <row r="558" spans="1:26" ht="18" customHeight="1" x14ac:dyDescent="0.15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</row>
    <row r="559" spans="1:26" ht="18" customHeight="1" x14ac:dyDescent="0.15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</row>
    <row r="560" spans="1:26" ht="18" customHeight="1" x14ac:dyDescent="0.15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</row>
    <row r="561" spans="1:26" ht="18" customHeight="1" x14ac:dyDescent="0.15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</row>
    <row r="562" spans="1:26" ht="18" customHeight="1" x14ac:dyDescent="0.15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</row>
    <row r="563" spans="1:26" ht="18" customHeight="1" x14ac:dyDescent="0.15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</row>
    <row r="564" spans="1:26" ht="18" customHeight="1" x14ac:dyDescent="0.15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</row>
    <row r="565" spans="1:26" ht="18" customHeight="1" x14ac:dyDescent="0.1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</row>
    <row r="566" spans="1:26" ht="18" customHeight="1" x14ac:dyDescent="0.15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</row>
    <row r="567" spans="1:26" ht="18" customHeight="1" x14ac:dyDescent="0.15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</row>
    <row r="568" spans="1:26" ht="18" customHeight="1" x14ac:dyDescent="0.15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</row>
    <row r="569" spans="1:26" ht="18" customHeight="1" x14ac:dyDescent="0.15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</row>
    <row r="570" spans="1:26" ht="18" customHeight="1" x14ac:dyDescent="0.15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</row>
    <row r="571" spans="1:26" ht="18" customHeight="1" x14ac:dyDescent="0.15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</row>
    <row r="572" spans="1:26" ht="18" customHeight="1" x14ac:dyDescent="0.15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</row>
    <row r="573" spans="1:26" ht="18" customHeight="1" x14ac:dyDescent="0.15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</row>
    <row r="574" spans="1:26" ht="18" customHeight="1" x14ac:dyDescent="0.15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</row>
    <row r="575" spans="1:26" ht="18" customHeight="1" x14ac:dyDescent="0.1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</row>
    <row r="576" spans="1:26" ht="18" customHeight="1" x14ac:dyDescent="0.15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</row>
    <row r="577" spans="1:26" ht="18" customHeight="1" x14ac:dyDescent="0.15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</row>
    <row r="578" spans="1:26" ht="18" customHeight="1" x14ac:dyDescent="0.15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</row>
    <row r="579" spans="1:26" ht="18" customHeight="1" x14ac:dyDescent="0.15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</row>
    <row r="580" spans="1:26" ht="18" customHeight="1" x14ac:dyDescent="0.15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</row>
    <row r="581" spans="1:26" ht="18" customHeight="1" x14ac:dyDescent="0.15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</row>
    <row r="582" spans="1:26" ht="18" customHeight="1" x14ac:dyDescent="0.15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</row>
    <row r="583" spans="1:26" ht="18" customHeight="1" x14ac:dyDescent="0.15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</row>
    <row r="584" spans="1:26" ht="18" customHeight="1" x14ac:dyDescent="0.15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</row>
    <row r="585" spans="1:26" ht="18" customHeight="1" x14ac:dyDescent="0.1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</row>
    <row r="586" spans="1:26" ht="18" customHeight="1" x14ac:dyDescent="0.15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</row>
    <row r="587" spans="1:26" ht="18" customHeight="1" x14ac:dyDescent="0.15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</row>
    <row r="588" spans="1:26" ht="18" customHeight="1" x14ac:dyDescent="0.15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</row>
    <row r="589" spans="1:26" ht="18" customHeight="1" x14ac:dyDescent="0.15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</row>
    <row r="590" spans="1:26" ht="18" customHeight="1" x14ac:dyDescent="0.15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</row>
    <row r="591" spans="1:26" ht="18" customHeight="1" x14ac:dyDescent="0.15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</row>
    <row r="592" spans="1:26" ht="18" customHeight="1" x14ac:dyDescent="0.15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</row>
    <row r="593" spans="1:26" ht="18" customHeight="1" x14ac:dyDescent="0.15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</row>
    <row r="594" spans="1:26" ht="18" customHeight="1" x14ac:dyDescent="0.15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</row>
    <row r="595" spans="1:26" ht="18" customHeight="1" x14ac:dyDescent="0.1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</row>
    <row r="596" spans="1:26" ht="18" customHeight="1" x14ac:dyDescent="0.15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</row>
    <row r="597" spans="1:26" ht="18" customHeight="1" x14ac:dyDescent="0.15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</row>
    <row r="598" spans="1:26" ht="18" customHeight="1" x14ac:dyDescent="0.15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</row>
    <row r="599" spans="1:26" ht="18" customHeight="1" x14ac:dyDescent="0.15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</row>
    <row r="600" spans="1:26" ht="18" customHeight="1" x14ac:dyDescent="0.15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</row>
    <row r="601" spans="1:26" ht="18" customHeight="1" x14ac:dyDescent="0.15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</row>
    <row r="602" spans="1:26" ht="18" customHeight="1" x14ac:dyDescent="0.15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</row>
    <row r="603" spans="1:26" ht="18" customHeight="1" x14ac:dyDescent="0.15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</row>
    <row r="604" spans="1:26" ht="18" customHeight="1" x14ac:dyDescent="0.15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</row>
    <row r="605" spans="1:26" ht="18" customHeight="1" x14ac:dyDescent="0.1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</row>
    <row r="606" spans="1:26" ht="18" customHeight="1" x14ac:dyDescent="0.15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</row>
    <row r="607" spans="1:26" ht="18" customHeight="1" x14ac:dyDescent="0.15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</row>
    <row r="608" spans="1:26" ht="18" customHeight="1" x14ac:dyDescent="0.15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</row>
    <row r="609" spans="1:26" ht="18" customHeight="1" x14ac:dyDescent="0.15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</row>
    <row r="610" spans="1:26" ht="18" customHeight="1" x14ac:dyDescent="0.15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</row>
    <row r="611" spans="1:26" ht="18" customHeight="1" x14ac:dyDescent="0.15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</row>
    <row r="612" spans="1:26" ht="18" customHeight="1" x14ac:dyDescent="0.15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</row>
    <row r="613" spans="1:26" ht="18" customHeight="1" x14ac:dyDescent="0.15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</row>
    <row r="614" spans="1:26" ht="18" customHeight="1" x14ac:dyDescent="0.15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</row>
    <row r="615" spans="1:26" ht="18" customHeight="1" x14ac:dyDescent="0.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</row>
    <row r="616" spans="1:26" ht="18" customHeight="1" x14ac:dyDescent="0.15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</row>
    <row r="617" spans="1:26" ht="18" customHeight="1" x14ac:dyDescent="0.15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</row>
    <row r="618" spans="1:26" ht="18" customHeight="1" x14ac:dyDescent="0.15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</row>
    <row r="619" spans="1:26" ht="18" customHeight="1" x14ac:dyDescent="0.15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</row>
    <row r="620" spans="1:26" ht="18" customHeight="1" x14ac:dyDescent="0.15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</row>
    <row r="621" spans="1:26" ht="18" customHeight="1" x14ac:dyDescent="0.15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</row>
    <row r="622" spans="1:26" ht="18" customHeight="1" x14ac:dyDescent="0.15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</row>
    <row r="623" spans="1:26" ht="18" customHeight="1" x14ac:dyDescent="0.15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</row>
    <row r="624" spans="1:26" ht="18" customHeight="1" x14ac:dyDescent="0.15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</row>
    <row r="625" spans="1:26" ht="18" customHeight="1" x14ac:dyDescent="0.1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</row>
    <row r="626" spans="1:26" ht="18" customHeight="1" x14ac:dyDescent="0.15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</row>
    <row r="627" spans="1:26" ht="18" customHeight="1" x14ac:dyDescent="0.15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</row>
    <row r="628" spans="1:26" ht="18" customHeight="1" x14ac:dyDescent="0.15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</row>
    <row r="629" spans="1:26" ht="18" customHeight="1" x14ac:dyDescent="0.15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</row>
    <row r="630" spans="1:26" ht="18" customHeight="1" x14ac:dyDescent="0.15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</row>
    <row r="631" spans="1:26" ht="18" customHeight="1" x14ac:dyDescent="0.15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</row>
    <row r="632" spans="1:26" ht="18" customHeight="1" x14ac:dyDescent="0.15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</row>
    <row r="633" spans="1:26" ht="18" customHeight="1" x14ac:dyDescent="0.15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</row>
    <row r="634" spans="1:26" ht="18" customHeight="1" x14ac:dyDescent="0.15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</row>
    <row r="635" spans="1:26" ht="18" customHeight="1" x14ac:dyDescent="0.1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</row>
    <row r="636" spans="1:26" ht="18" customHeight="1" x14ac:dyDescent="0.15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</row>
    <row r="637" spans="1:26" ht="18" customHeight="1" x14ac:dyDescent="0.15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</row>
    <row r="638" spans="1:26" ht="18" customHeight="1" x14ac:dyDescent="0.15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</row>
    <row r="639" spans="1:26" ht="18" customHeight="1" x14ac:dyDescent="0.15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</row>
    <row r="640" spans="1:26" ht="18" customHeight="1" x14ac:dyDescent="0.15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</row>
    <row r="641" spans="1:26" ht="18" customHeight="1" x14ac:dyDescent="0.15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</row>
    <row r="642" spans="1:26" ht="18" customHeight="1" x14ac:dyDescent="0.15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</row>
    <row r="643" spans="1:26" ht="18" customHeight="1" x14ac:dyDescent="0.15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</row>
    <row r="644" spans="1:26" ht="18" customHeight="1" x14ac:dyDescent="0.15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</row>
    <row r="645" spans="1:26" ht="18" customHeight="1" x14ac:dyDescent="0.1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</row>
    <row r="646" spans="1:26" ht="18" customHeight="1" x14ac:dyDescent="0.15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</row>
    <row r="647" spans="1:26" ht="18" customHeight="1" x14ac:dyDescent="0.15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</row>
    <row r="648" spans="1:26" ht="18" customHeight="1" x14ac:dyDescent="0.15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</row>
    <row r="649" spans="1:26" ht="18" customHeight="1" x14ac:dyDescent="0.15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</row>
    <row r="650" spans="1:26" ht="18" customHeight="1" x14ac:dyDescent="0.15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</row>
    <row r="651" spans="1:26" ht="18" customHeight="1" x14ac:dyDescent="0.15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</row>
    <row r="652" spans="1:26" ht="18" customHeight="1" x14ac:dyDescent="0.15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</row>
    <row r="653" spans="1:26" ht="18" customHeight="1" x14ac:dyDescent="0.15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</row>
    <row r="654" spans="1:26" ht="18" customHeight="1" x14ac:dyDescent="0.15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</row>
    <row r="655" spans="1:26" ht="18" customHeight="1" x14ac:dyDescent="0.1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</row>
    <row r="656" spans="1:26" ht="18" customHeight="1" x14ac:dyDescent="0.15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</row>
    <row r="657" spans="1:26" ht="18" customHeight="1" x14ac:dyDescent="0.15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</row>
    <row r="658" spans="1:26" ht="18" customHeight="1" x14ac:dyDescent="0.15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</row>
    <row r="659" spans="1:26" ht="18" customHeight="1" x14ac:dyDescent="0.15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</row>
    <row r="660" spans="1:26" ht="18" customHeight="1" x14ac:dyDescent="0.15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</row>
    <row r="661" spans="1:26" ht="18" customHeight="1" x14ac:dyDescent="0.15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</row>
    <row r="662" spans="1:26" ht="18" customHeight="1" x14ac:dyDescent="0.15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</row>
    <row r="663" spans="1:26" ht="18" customHeight="1" x14ac:dyDescent="0.15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</row>
    <row r="664" spans="1:26" ht="18" customHeight="1" x14ac:dyDescent="0.15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</row>
    <row r="665" spans="1:26" ht="18" customHeight="1" x14ac:dyDescent="0.1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</row>
    <row r="666" spans="1:26" ht="18" customHeight="1" x14ac:dyDescent="0.15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</row>
    <row r="667" spans="1:26" ht="18" customHeight="1" x14ac:dyDescent="0.15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</row>
    <row r="668" spans="1:26" ht="18" customHeight="1" x14ac:dyDescent="0.15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</row>
    <row r="669" spans="1:26" ht="18" customHeight="1" x14ac:dyDescent="0.15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</row>
    <row r="670" spans="1:26" ht="18" customHeight="1" x14ac:dyDescent="0.15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</row>
    <row r="671" spans="1:26" ht="18" customHeight="1" x14ac:dyDescent="0.15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</row>
    <row r="672" spans="1:26" ht="18" customHeight="1" x14ac:dyDescent="0.15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</row>
    <row r="673" spans="1:26" ht="18" customHeight="1" x14ac:dyDescent="0.15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</row>
    <row r="674" spans="1:26" ht="18" customHeight="1" x14ac:dyDescent="0.15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</row>
    <row r="675" spans="1:26" ht="18" customHeight="1" x14ac:dyDescent="0.1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</row>
    <row r="676" spans="1:26" ht="18" customHeight="1" x14ac:dyDescent="0.15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</row>
    <row r="677" spans="1:26" ht="18" customHeight="1" x14ac:dyDescent="0.15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</row>
    <row r="678" spans="1:26" ht="18" customHeight="1" x14ac:dyDescent="0.15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</row>
    <row r="679" spans="1:26" ht="18" customHeight="1" x14ac:dyDescent="0.15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</row>
    <row r="680" spans="1:26" ht="18" customHeight="1" x14ac:dyDescent="0.15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</row>
    <row r="681" spans="1:26" ht="18" customHeight="1" x14ac:dyDescent="0.15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</row>
    <row r="682" spans="1:26" ht="18" customHeight="1" x14ac:dyDescent="0.15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</row>
    <row r="683" spans="1:26" ht="18" customHeight="1" x14ac:dyDescent="0.15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</row>
    <row r="684" spans="1:26" ht="18" customHeight="1" x14ac:dyDescent="0.15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</row>
    <row r="685" spans="1:26" ht="18" customHeight="1" x14ac:dyDescent="0.1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</row>
    <row r="686" spans="1:26" ht="18" customHeight="1" x14ac:dyDescent="0.15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</row>
    <row r="687" spans="1:26" ht="18" customHeight="1" x14ac:dyDescent="0.15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</row>
    <row r="688" spans="1:26" ht="18" customHeight="1" x14ac:dyDescent="0.15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</row>
    <row r="689" spans="1:26" ht="18" customHeight="1" x14ac:dyDescent="0.15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</row>
    <row r="690" spans="1:26" ht="18" customHeight="1" x14ac:dyDescent="0.15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</row>
    <row r="691" spans="1:26" ht="18" customHeight="1" x14ac:dyDescent="0.15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</row>
    <row r="692" spans="1:26" ht="18" customHeight="1" x14ac:dyDescent="0.15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</row>
    <row r="693" spans="1:26" ht="18" customHeight="1" x14ac:dyDescent="0.15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</row>
    <row r="694" spans="1:26" ht="18" customHeight="1" x14ac:dyDescent="0.15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</row>
    <row r="695" spans="1:26" ht="18" customHeight="1" x14ac:dyDescent="0.1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</row>
    <row r="696" spans="1:26" ht="18" customHeight="1" x14ac:dyDescent="0.15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</row>
    <row r="697" spans="1:26" ht="18" customHeight="1" x14ac:dyDescent="0.15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</row>
    <row r="698" spans="1:26" ht="18" customHeight="1" x14ac:dyDescent="0.15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</row>
    <row r="699" spans="1:26" ht="18" customHeight="1" x14ac:dyDescent="0.15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</row>
    <row r="700" spans="1:26" ht="18" customHeight="1" x14ac:dyDescent="0.15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</row>
    <row r="701" spans="1:26" ht="18" customHeight="1" x14ac:dyDescent="0.15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</row>
    <row r="702" spans="1:26" ht="18" customHeight="1" x14ac:dyDescent="0.15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</row>
    <row r="703" spans="1:26" ht="18" customHeight="1" x14ac:dyDescent="0.15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</row>
    <row r="704" spans="1:26" ht="18" customHeight="1" x14ac:dyDescent="0.15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</row>
    <row r="705" spans="1:26" ht="18" customHeight="1" x14ac:dyDescent="0.1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</row>
    <row r="706" spans="1:26" ht="18" customHeight="1" x14ac:dyDescent="0.15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</row>
    <row r="707" spans="1:26" ht="18" customHeight="1" x14ac:dyDescent="0.15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</row>
    <row r="708" spans="1:26" ht="18" customHeight="1" x14ac:dyDescent="0.15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</row>
    <row r="709" spans="1:26" ht="18" customHeight="1" x14ac:dyDescent="0.15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</row>
    <row r="710" spans="1:26" ht="18" customHeight="1" x14ac:dyDescent="0.15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</row>
    <row r="711" spans="1:26" ht="18" customHeight="1" x14ac:dyDescent="0.15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</row>
    <row r="712" spans="1:26" ht="18" customHeight="1" x14ac:dyDescent="0.15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</row>
    <row r="713" spans="1:26" ht="18" customHeight="1" x14ac:dyDescent="0.15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</row>
    <row r="714" spans="1:26" ht="18" customHeight="1" x14ac:dyDescent="0.15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</row>
    <row r="715" spans="1:26" ht="18" customHeight="1" x14ac:dyDescent="0.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</row>
    <row r="716" spans="1:26" ht="18" customHeight="1" x14ac:dyDescent="0.15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</row>
    <row r="717" spans="1:26" ht="18" customHeight="1" x14ac:dyDescent="0.15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</row>
    <row r="718" spans="1:26" ht="18" customHeight="1" x14ac:dyDescent="0.15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</row>
    <row r="719" spans="1:26" ht="18" customHeight="1" x14ac:dyDescent="0.15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</row>
    <row r="720" spans="1:26" ht="18" customHeight="1" x14ac:dyDescent="0.15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</row>
    <row r="721" spans="1:26" ht="18" customHeight="1" x14ac:dyDescent="0.15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</row>
    <row r="722" spans="1:26" ht="18" customHeight="1" x14ac:dyDescent="0.15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</row>
    <row r="723" spans="1:26" ht="18" customHeight="1" x14ac:dyDescent="0.15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</row>
    <row r="724" spans="1:26" ht="18" customHeight="1" x14ac:dyDescent="0.15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</row>
    <row r="725" spans="1:26" ht="18" customHeight="1" x14ac:dyDescent="0.1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</row>
    <row r="726" spans="1:26" ht="18" customHeight="1" x14ac:dyDescent="0.15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</row>
    <row r="727" spans="1:26" ht="18" customHeight="1" x14ac:dyDescent="0.15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</row>
    <row r="728" spans="1:26" ht="18" customHeight="1" x14ac:dyDescent="0.15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</row>
    <row r="729" spans="1:26" ht="18" customHeight="1" x14ac:dyDescent="0.15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</row>
    <row r="730" spans="1:26" ht="18" customHeight="1" x14ac:dyDescent="0.15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</row>
    <row r="731" spans="1:26" ht="18" customHeight="1" x14ac:dyDescent="0.15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</row>
    <row r="732" spans="1:26" ht="18" customHeight="1" x14ac:dyDescent="0.15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</row>
    <row r="733" spans="1:26" ht="18" customHeight="1" x14ac:dyDescent="0.15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</row>
    <row r="734" spans="1:26" ht="18" customHeight="1" x14ac:dyDescent="0.15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</row>
    <row r="735" spans="1:26" ht="18" customHeight="1" x14ac:dyDescent="0.1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</row>
    <row r="736" spans="1:26" ht="18" customHeight="1" x14ac:dyDescent="0.15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</row>
    <row r="737" spans="1:26" ht="18" customHeight="1" x14ac:dyDescent="0.15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</row>
    <row r="738" spans="1:26" ht="18" customHeight="1" x14ac:dyDescent="0.15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</row>
    <row r="739" spans="1:26" ht="18" customHeight="1" x14ac:dyDescent="0.15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</row>
    <row r="740" spans="1:26" ht="18" customHeight="1" x14ac:dyDescent="0.15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</row>
    <row r="741" spans="1:26" ht="18" customHeight="1" x14ac:dyDescent="0.15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</row>
    <row r="742" spans="1:26" ht="18" customHeight="1" x14ac:dyDescent="0.15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</row>
    <row r="743" spans="1:26" ht="18" customHeight="1" x14ac:dyDescent="0.15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</row>
    <row r="744" spans="1:26" ht="18" customHeight="1" x14ac:dyDescent="0.15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</row>
    <row r="745" spans="1:26" ht="18" customHeight="1" x14ac:dyDescent="0.1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</row>
    <row r="746" spans="1:26" ht="18" customHeight="1" x14ac:dyDescent="0.15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</row>
    <row r="747" spans="1:26" ht="18" customHeight="1" x14ac:dyDescent="0.15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</row>
    <row r="748" spans="1:26" ht="18" customHeight="1" x14ac:dyDescent="0.15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</row>
    <row r="749" spans="1:26" ht="18" customHeight="1" x14ac:dyDescent="0.15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</row>
    <row r="750" spans="1:26" ht="18" customHeight="1" x14ac:dyDescent="0.15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</row>
    <row r="751" spans="1:26" ht="18" customHeight="1" x14ac:dyDescent="0.15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</row>
    <row r="752" spans="1:26" ht="18" customHeight="1" x14ac:dyDescent="0.15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</row>
    <row r="753" spans="1:26" ht="18" customHeight="1" x14ac:dyDescent="0.15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</row>
    <row r="754" spans="1:26" ht="18" customHeight="1" x14ac:dyDescent="0.15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</row>
    <row r="755" spans="1:26" ht="18" customHeight="1" x14ac:dyDescent="0.1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</row>
    <row r="756" spans="1:26" ht="18" customHeight="1" x14ac:dyDescent="0.15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</row>
    <row r="757" spans="1:26" ht="18" customHeight="1" x14ac:dyDescent="0.15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</row>
    <row r="758" spans="1:26" ht="18" customHeight="1" x14ac:dyDescent="0.15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</row>
    <row r="759" spans="1:26" ht="18" customHeight="1" x14ac:dyDescent="0.15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</row>
    <row r="760" spans="1:26" ht="18" customHeight="1" x14ac:dyDescent="0.15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</row>
    <row r="761" spans="1:26" ht="18" customHeight="1" x14ac:dyDescent="0.15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</row>
    <row r="762" spans="1:26" ht="18" customHeight="1" x14ac:dyDescent="0.15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</row>
    <row r="763" spans="1:26" ht="18" customHeight="1" x14ac:dyDescent="0.15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</row>
    <row r="764" spans="1:26" ht="18" customHeight="1" x14ac:dyDescent="0.15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</row>
    <row r="765" spans="1:26" ht="18" customHeight="1" x14ac:dyDescent="0.1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</row>
    <row r="766" spans="1:26" ht="18" customHeight="1" x14ac:dyDescent="0.15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</row>
    <row r="767" spans="1:26" ht="18" customHeight="1" x14ac:dyDescent="0.15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</row>
    <row r="768" spans="1:26" ht="18" customHeight="1" x14ac:dyDescent="0.15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</row>
    <row r="769" spans="1:26" ht="18" customHeight="1" x14ac:dyDescent="0.15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</row>
    <row r="770" spans="1:26" ht="18" customHeight="1" x14ac:dyDescent="0.15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</row>
    <row r="771" spans="1:26" ht="18" customHeight="1" x14ac:dyDescent="0.15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</row>
    <row r="772" spans="1:26" ht="18" customHeight="1" x14ac:dyDescent="0.15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</row>
    <row r="773" spans="1:26" ht="18" customHeight="1" x14ac:dyDescent="0.15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</row>
    <row r="774" spans="1:26" ht="18" customHeight="1" x14ac:dyDescent="0.15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</row>
    <row r="775" spans="1:26" ht="18" customHeight="1" x14ac:dyDescent="0.1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</row>
    <row r="776" spans="1:26" ht="18" customHeight="1" x14ac:dyDescent="0.15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</row>
    <row r="777" spans="1:26" ht="18" customHeight="1" x14ac:dyDescent="0.15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</row>
    <row r="778" spans="1:26" ht="18" customHeight="1" x14ac:dyDescent="0.15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</row>
    <row r="779" spans="1:26" ht="18" customHeight="1" x14ac:dyDescent="0.15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</row>
    <row r="780" spans="1:26" ht="18" customHeight="1" x14ac:dyDescent="0.15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</row>
    <row r="781" spans="1:26" ht="18" customHeight="1" x14ac:dyDescent="0.15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</row>
    <row r="782" spans="1:26" ht="18" customHeight="1" x14ac:dyDescent="0.15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</row>
    <row r="783" spans="1:26" ht="18" customHeight="1" x14ac:dyDescent="0.15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</row>
    <row r="784" spans="1:26" ht="18" customHeight="1" x14ac:dyDescent="0.15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</row>
    <row r="785" spans="1:26" ht="18" customHeight="1" x14ac:dyDescent="0.1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</row>
    <row r="786" spans="1:26" ht="18" customHeight="1" x14ac:dyDescent="0.15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</row>
    <row r="787" spans="1:26" ht="18" customHeight="1" x14ac:dyDescent="0.15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</row>
    <row r="788" spans="1:26" ht="18" customHeight="1" x14ac:dyDescent="0.15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</row>
    <row r="789" spans="1:26" ht="18" customHeight="1" x14ac:dyDescent="0.15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</row>
    <row r="790" spans="1:26" ht="18" customHeight="1" x14ac:dyDescent="0.15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</row>
    <row r="791" spans="1:26" ht="18" customHeight="1" x14ac:dyDescent="0.15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</row>
    <row r="792" spans="1:26" ht="18" customHeight="1" x14ac:dyDescent="0.15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</row>
    <row r="793" spans="1:26" ht="18" customHeight="1" x14ac:dyDescent="0.15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</row>
    <row r="794" spans="1:26" ht="18" customHeight="1" x14ac:dyDescent="0.15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</row>
    <row r="795" spans="1:26" ht="18" customHeight="1" x14ac:dyDescent="0.1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</row>
    <row r="796" spans="1:26" ht="18" customHeight="1" x14ac:dyDescent="0.15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</row>
    <row r="797" spans="1:26" ht="18" customHeight="1" x14ac:dyDescent="0.15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</row>
    <row r="798" spans="1:26" ht="18" customHeight="1" x14ac:dyDescent="0.15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</row>
    <row r="799" spans="1:26" ht="18" customHeight="1" x14ac:dyDescent="0.15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</row>
    <row r="800" spans="1:26" ht="18" customHeight="1" x14ac:dyDescent="0.15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</row>
    <row r="801" spans="1:26" ht="18" customHeight="1" x14ac:dyDescent="0.15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</row>
    <row r="802" spans="1:26" ht="18" customHeight="1" x14ac:dyDescent="0.15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</row>
    <row r="803" spans="1:26" ht="18" customHeight="1" x14ac:dyDescent="0.15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</row>
    <row r="804" spans="1:26" ht="18" customHeight="1" x14ac:dyDescent="0.15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</row>
    <row r="805" spans="1:26" ht="18" customHeight="1" x14ac:dyDescent="0.1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</row>
    <row r="806" spans="1:26" ht="18" customHeight="1" x14ac:dyDescent="0.15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</row>
    <row r="807" spans="1:26" ht="18" customHeight="1" x14ac:dyDescent="0.15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</row>
    <row r="808" spans="1:26" ht="18" customHeight="1" x14ac:dyDescent="0.15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</row>
    <row r="809" spans="1:26" ht="18" customHeight="1" x14ac:dyDescent="0.15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</row>
    <row r="810" spans="1:26" ht="18" customHeight="1" x14ac:dyDescent="0.15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</row>
    <row r="811" spans="1:26" ht="18" customHeight="1" x14ac:dyDescent="0.15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</row>
    <row r="812" spans="1:26" ht="18" customHeight="1" x14ac:dyDescent="0.15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</row>
    <row r="813" spans="1:26" ht="18" customHeight="1" x14ac:dyDescent="0.15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</row>
    <row r="814" spans="1:26" ht="18" customHeight="1" x14ac:dyDescent="0.15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</row>
    <row r="815" spans="1:26" ht="18" customHeight="1" x14ac:dyDescent="0.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</row>
    <row r="816" spans="1:26" ht="18" customHeight="1" x14ac:dyDescent="0.15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</row>
    <row r="817" spans="1:26" ht="18" customHeight="1" x14ac:dyDescent="0.15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</row>
    <row r="818" spans="1:26" ht="18" customHeight="1" x14ac:dyDescent="0.15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</row>
    <row r="819" spans="1:26" ht="18" customHeight="1" x14ac:dyDescent="0.15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</row>
    <row r="820" spans="1:26" ht="18" customHeight="1" x14ac:dyDescent="0.15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</row>
    <row r="821" spans="1:26" ht="18" customHeight="1" x14ac:dyDescent="0.15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</row>
    <row r="822" spans="1:26" ht="18" customHeight="1" x14ac:dyDescent="0.15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</row>
    <row r="823" spans="1:26" ht="18" customHeight="1" x14ac:dyDescent="0.15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</row>
    <row r="824" spans="1:26" ht="18" customHeight="1" x14ac:dyDescent="0.15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</row>
    <row r="825" spans="1:26" ht="18" customHeight="1" x14ac:dyDescent="0.1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</row>
    <row r="826" spans="1:26" ht="18" customHeight="1" x14ac:dyDescent="0.15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</row>
    <row r="827" spans="1:26" ht="18" customHeight="1" x14ac:dyDescent="0.15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</row>
    <row r="828" spans="1:26" ht="18" customHeight="1" x14ac:dyDescent="0.15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</row>
    <row r="829" spans="1:26" ht="18" customHeight="1" x14ac:dyDescent="0.15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</row>
    <row r="830" spans="1:26" ht="18" customHeight="1" x14ac:dyDescent="0.15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</row>
    <row r="831" spans="1:26" ht="18" customHeight="1" x14ac:dyDescent="0.15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</row>
    <row r="832" spans="1:26" ht="18" customHeight="1" x14ac:dyDescent="0.15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</row>
    <row r="833" spans="1:26" ht="18" customHeight="1" x14ac:dyDescent="0.15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</row>
    <row r="834" spans="1:26" ht="18" customHeight="1" x14ac:dyDescent="0.15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</row>
    <row r="835" spans="1:26" ht="18" customHeight="1" x14ac:dyDescent="0.1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</row>
    <row r="836" spans="1:26" ht="18" customHeight="1" x14ac:dyDescent="0.15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</row>
    <row r="837" spans="1:26" ht="18" customHeight="1" x14ac:dyDescent="0.15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</row>
    <row r="838" spans="1:26" ht="18" customHeight="1" x14ac:dyDescent="0.15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</row>
    <row r="839" spans="1:26" ht="18" customHeight="1" x14ac:dyDescent="0.15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</row>
    <row r="840" spans="1:26" ht="18" customHeight="1" x14ac:dyDescent="0.15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</row>
    <row r="841" spans="1:26" ht="18" customHeight="1" x14ac:dyDescent="0.15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</row>
    <row r="842" spans="1:26" ht="18" customHeight="1" x14ac:dyDescent="0.15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</row>
    <row r="843" spans="1:26" ht="18" customHeight="1" x14ac:dyDescent="0.15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</row>
    <row r="844" spans="1:26" ht="18" customHeight="1" x14ac:dyDescent="0.15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</row>
    <row r="845" spans="1:26" ht="18" customHeight="1" x14ac:dyDescent="0.1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</row>
    <row r="846" spans="1:26" ht="18" customHeight="1" x14ac:dyDescent="0.15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</row>
    <row r="847" spans="1:26" ht="18" customHeight="1" x14ac:dyDescent="0.15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</row>
    <row r="848" spans="1:26" ht="18" customHeight="1" x14ac:dyDescent="0.15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</row>
    <row r="849" spans="1:26" ht="18" customHeight="1" x14ac:dyDescent="0.15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</row>
    <row r="850" spans="1:26" ht="18" customHeight="1" x14ac:dyDescent="0.15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</row>
    <row r="851" spans="1:26" ht="18" customHeight="1" x14ac:dyDescent="0.15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</row>
    <row r="852" spans="1:26" ht="18" customHeight="1" x14ac:dyDescent="0.15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</row>
    <row r="853" spans="1:26" ht="18" customHeight="1" x14ac:dyDescent="0.15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</row>
    <row r="854" spans="1:26" ht="18" customHeight="1" x14ac:dyDescent="0.15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</row>
    <row r="855" spans="1:26" ht="18" customHeight="1" x14ac:dyDescent="0.1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</row>
    <row r="856" spans="1:26" ht="18" customHeight="1" x14ac:dyDescent="0.15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</row>
    <row r="857" spans="1:26" ht="18" customHeight="1" x14ac:dyDescent="0.15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</row>
    <row r="858" spans="1:26" ht="18" customHeight="1" x14ac:dyDescent="0.15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</row>
    <row r="859" spans="1:26" ht="18" customHeight="1" x14ac:dyDescent="0.15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</row>
    <row r="860" spans="1:26" ht="18" customHeight="1" x14ac:dyDescent="0.15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</row>
    <row r="861" spans="1:26" ht="18" customHeight="1" x14ac:dyDescent="0.15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</row>
    <row r="862" spans="1:26" ht="18" customHeight="1" x14ac:dyDescent="0.15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</row>
    <row r="863" spans="1:26" ht="18" customHeight="1" x14ac:dyDescent="0.15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</row>
    <row r="864" spans="1:26" ht="18" customHeight="1" x14ac:dyDescent="0.15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</row>
    <row r="865" spans="1:26" ht="18" customHeight="1" x14ac:dyDescent="0.1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</row>
    <row r="866" spans="1:26" ht="18" customHeight="1" x14ac:dyDescent="0.15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</row>
    <row r="867" spans="1:26" ht="18" customHeight="1" x14ac:dyDescent="0.15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</row>
    <row r="868" spans="1:26" ht="18" customHeight="1" x14ac:dyDescent="0.15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</row>
    <row r="869" spans="1:26" ht="18" customHeight="1" x14ac:dyDescent="0.15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</row>
    <row r="870" spans="1:26" ht="18" customHeight="1" x14ac:dyDescent="0.15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</row>
    <row r="871" spans="1:26" ht="18" customHeight="1" x14ac:dyDescent="0.15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</row>
    <row r="872" spans="1:26" ht="18" customHeight="1" x14ac:dyDescent="0.15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</row>
    <row r="873" spans="1:26" ht="18" customHeight="1" x14ac:dyDescent="0.15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</row>
    <row r="874" spans="1:26" ht="18" customHeight="1" x14ac:dyDescent="0.15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</row>
    <row r="875" spans="1:26" ht="18" customHeight="1" x14ac:dyDescent="0.1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</row>
    <row r="876" spans="1:26" ht="18" customHeight="1" x14ac:dyDescent="0.15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</row>
    <row r="877" spans="1:26" ht="18" customHeight="1" x14ac:dyDescent="0.15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</row>
    <row r="878" spans="1:26" ht="18" customHeight="1" x14ac:dyDescent="0.15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</row>
    <row r="879" spans="1:26" ht="18" customHeight="1" x14ac:dyDescent="0.15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</row>
    <row r="880" spans="1:26" ht="18" customHeight="1" x14ac:dyDescent="0.15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</row>
    <row r="881" spans="1:26" ht="18" customHeight="1" x14ac:dyDescent="0.15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</row>
    <row r="882" spans="1:26" ht="18" customHeight="1" x14ac:dyDescent="0.15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</row>
    <row r="883" spans="1:26" ht="18" customHeight="1" x14ac:dyDescent="0.15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</row>
    <row r="884" spans="1:26" ht="18" customHeight="1" x14ac:dyDescent="0.15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</row>
    <row r="885" spans="1:26" ht="18" customHeight="1" x14ac:dyDescent="0.1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</row>
    <row r="886" spans="1:26" ht="18" customHeight="1" x14ac:dyDescent="0.15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</row>
    <row r="887" spans="1:26" ht="18" customHeight="1" x14ac:dyDescent="0.15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</row>
    <row r="888" spans="1:26" ht="18" customHeight="1" x14ac:dyDescent="0.15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</row>
    <row r="889" spans="1:26" ht="18" customHeight="1" x14ac:dyDescent="0.15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</row>
    <row r="890" spans="1:26" ht="18" customHeight="1" x14ac:dyDescent="0.15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</row>
    <row r="891" spans="1:26" ht="18" customHeight="1" x14ac:dyDescent="0.15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</row>
    <row r="892" spans="1:26" ht="18" customHeight="1" x14ac:dyDescent="0.15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</row>
    <row r="893" spans="1:26" ht="18" customHeight="1" x14ac:dyDescent="0.15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</row>
    <row r="894" spans="1:26" ht="18" customHeight="1" x14ac:dyDescent="0.15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</row>
    <row r="895" spans="1:26" ht="18" customHeight="1" x14ac:dyDescent="0.1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</row>
    <row r="896" spans="1:26" ht="18" customHeight="1" x14ac:dyDescent="0.15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</row>
    <row r="897" spans="1:26" ht="18" customHeight="1" x14ac:dyDescent="0.15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</row>
    <row r="898" spans="1:26" ht="18" customHeight="1" x14ac:dyDescent="0.15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</row>
    <row r="899" spans="1:26" ht="18" customHeight="1" x14ac:dyDescent="0.15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</row>
    <row r="900" spans="1:26" ht="18" customHeight="1" x14ac:dyDescent="0.15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</row>
    <row r="901" spans="1:26" ht="18" customHeight="1" x14ac:dyDescent="0.15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</row>
    <row r="902" spans="1:26" ht="18" customHeight="1" x14ac:dyDescent="0.15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</row>
    <row r="903" spans="1:26" ht="18" customHeight="1" x14ac:dyDescent="0.15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</row>
    <row r="904" spans="1:26" ht="18" customHeight="1" x14ac:dyDescent="0.15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</row>
    <row r="905" spans="1:26" ht="18" customHeight="1" x14ac:dyDescent="0.1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</row>
    <row r="906" spans="1:26" ht="18" customHeight="1" x14ac:dyDescent="0.15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</row>
    <row r="907" spans="1:26" ht="18" customHeight="1" x14ac:dyDescent="0.15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</row>
    <row r="908" spans="1:26" ht="18" customHeight="1" x14ac:dyDescent="0.15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</row>
    <row r="909" spans="1:26" ht="18" customHeight="1" x14ac:dyDescent="0.15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</row>
    <row r="910" spans="1:26" ht="18" customHeight="1" x14ac:dyDescent="0.15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</row>
    <row r="911" spans="1:26" ht="18" customHeight="1" x14ac:dyDescent="0.15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</row>
    <row r="912" spans="1:26" ht="18" customHeight="1" x14ac:dyDescent="0.15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</row>
    <row r="913" spans="1:26" ht="18" customHeight="1" x14ac:dyDescent="0.15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</row>
    <row r="914" spans="1:26" ht="18" customHeight="1" x14ac:dyDescent="0.15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</row>
    <row r="915" spans="1:26" ht="18" customHeight="1" x14ac:dyDescent="0.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</row>
    <row r="916" spans="1:26" ht="18" customHeight="1" x14ac:dyDescent="0.15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</row>
    <row r="917" spans="1:26" ht="18" customHeight="1" x14ac:dyDescent="0.15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</row>
    <row r="918" spans="1:26" ht="18" customHeight="1" x14ac:dyDescent="0.15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</row>
    <row r="919" spans="1:26" ht="18" customHeight="1" x14ac:dyDescent="0.15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</row>
    <row r="920" spans="1:26" ht="18" customHeight="1" x14ac:dyDescent="0.15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</row>
    <row r="921" spans="1:26" ht="18" customHeight="1" x14ac:dyDescent="0.15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</row>
    <row r="922" spans="1:26" ht="18" customHeight="1" x14ac:dyDescent="0.15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</row>
    <row r="923" spans="1:26" ht="18" customHeight="1" x14ac:dyDescent="0.15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</row>
    <row r="924" spans="1:26" ht="18" customHeight="1" x14ac:dyDescent="0.15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</row>
    <row r="925" spans="1:26" ht="18" customHeight="1" x14ac:dyDescent="0.1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</row>
    <row r="926" spans="1:26" ht="18" customHeight="1" x14ac:dyDescent="0.15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</row>
    <row r="927" spans="1:26" ht="18" customHeight="1" x14ac:dyDescent="0.15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</row>
    <row r="928" spans="1:26" ht="18" customHeight="1" x14ac:dyDescent="0.15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</row>
    <row r="929" spans="1:26" ht="18" customHeight="1" x14ac:dyDescent="0.15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</row>
    <row r="930" spans="1:26" ht="18" customHeight="1" x14ac:dyDescent="0.15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</row>
    <row r="931" spans="1:26" ht="18" customHeight="1" x14ac:dyDescent="0.15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</row>
    <row r="932" spans="1:26" ht="18" customHeight="1" x14ac:dyDescent="0.15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</row>
    <row r="933" spans="1:26" ht="18" customHeight="1" x14ac:dyDescent="0.15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</row>
    <row r="934" spans="1:26" ht="18" customHeight="1" x14ac:dyDescent="0.15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</row>
    <row r="935" spans="1:26" ht="18" customHeight="1" x14ac:dyDescent="0.1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</row>
    <row r="936" spans="1:26" ht="18" customHeight="1" x14ac:dyDescent="0.15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</row>
    <row r="937" spans="1:26" ht="18" customHeight="1" x14ac:dyDescent="0.15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</row>
    <row r="938" spans="1:26" ht="18" customHeight="1" x14ac:dyDescent="0.15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</row>
    <row r="939" spans="1:26" ht="18" customHeight="1" x14ac:dyDescent="0.15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</row>
    <row r="940" spans="1:26" ht="18" customHeight="1" x14ac:dyDescent="0.15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</row>
    <row r="941" spans="1:26" ht="18" customHeight="1" x14ac:dyDescent="0.15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</row>
    <row r="942" spans="1:26" ht="18" customHeight="1" x14ac:dyDescent="0.15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</row>
    <row r="943" spans="1:26" ht="18" customHeight="1" x14ac:dyDescent="0.15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</row>
    <row r="944" spans="1:26" ht="18" customHeight="1" x14ac:dyDescent="0.15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</row>
    <row r="945" spans="1:26" ht="18" customHeight="1" x14ac:dyDescent="0.1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</row>
    <row r="946" spans="1:26" ht="18" customHeight="1" x14ac:dyDescent="0.15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</row>
    <row r="947" spans="1:26" ht="18" customHeight="1" x14ac:dyDescent="0.15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</row>
    <row r="948" spans="1:26" ht="18" customHeight="1" x14ac:dyDescent="0.15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</row>
    <row r="949" spans="1:26" ht="18" customHeight="1" x14ac:dyDescent="0.15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</row>
    <row r="950" spans="1:26" ht="18" customHeight="1" x14ac:dyDescent="0.15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</row>
    <row r="951" spans="1:26" ht="18" customHeight="1" x14ac:dyDescent="0.15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</row>
    <row r="952" spans="1:26" ht="18" customHeight="1" x14ac:dyDescent="0.15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</row>
    <row r="953" spans="1:26" ht="18" customHeight="1" x14ac:dyDescent="0.15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</row>
    <row r="954" spans="1:26" ht="18" customHeight="1" x14ac:dyDescent="0.15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</row>
    <row r="955" spans="1:26" ht="18" customHeight="1" x14ac:dyDescent="0.1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</row>
    <row r="956" spans="1:26" ht="18" customHeight="1" x14ac:dyDescent="0.15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</row>
    <row r="957" spans="1:26" ht="18" customHeight="1" x14ac:dyDescent="0.15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</row>
    <row r="958" spans="1:26" ht="18" customHeight="1" x14ac:dyDescent="0.15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</row>
    <row r="959" spans="1:26" ht="18" customHeight="1" x14ac:dyDescent="0.15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</row>
    <row r="960" spans="1:26" ht="18" customHeight="1" x14ac:dyDescent="0.15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</row>
    <row r="961" spans="1:26" ht="18" customHeight="1" x14ac:dyDescent="0.15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</row>
    <row r="962" spans="1:26" ht="18" customHeight="1" x14ac:dyDescent="0.15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</row>
    <row r="963" spans="1:26" ht="18" customHeight="1" x14ac:dyDescent="0.15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</row>
    <row r="964" spans="1:26" ht="18" customHeight="1" x14ac:dyDescent="0.15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</row>
    <row r="965" spans="1:26" ht="18" customHeight="1" x14ac:dyDescent="0.1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</row>
    <row r="966" spans="1:26" ht="18" customHeight="1" x14ac:dyDescent="0.15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</row>
    <row r="967" spans="1:26" ht="18" customHeight="1" x14ac:dyDescent="0.15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</row>
    <row r="968" spans="1:26" ht="18" customHeight="1" x14ac:dyDescent="0.15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</row>
    <row r="969" spans="1:26" ht="18" customHeight="1" x14ac:dyDescent="0.15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</row>
    <row r="970" spans="1:26" ht="18" customHeight="1" x14ac:dyDescent="0.15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</row>
    <row r="971" spans="1:26" ht="18" customHeight="1" x14ac:dyDescent="0.15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</row>
    <row r="972" spans="1:26" ht="18" customHeight="1" x14ac:dyDescent="0.15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</row>
    <row r="973" spans="1:26" ht="18" customHeight="1" x14ac:dyDescent="0.15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</row>
    <row r="974" spans="1:26" ht="18" customHeight="1" x14ac:dyDescent="0.15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</row>
    <row r="975" spans="1:26" ht="18" customHeight="1" x14ac:dyDescent="0.15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</row>
    <row r="976" spans="1:26" ht="18" customHeight="1" x14ac:dyDescent="0.15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</row>
    <row r="977" spans="1:26" ht="18" customHeight="1" x14ac:dyDescent="0.15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</row>
    <row r="978" spans="1:26" ht="18" customHeight="1" x14ac:dyDescent="0.15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</row>
    <row r="979" spans="1:26" ht="18" customHeight="1" x14ac:dyDescent="0.15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</row>
    <row r="980" spans="1:26" ht="18" customHeight="1" x14ac:dyDescent="0.15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</row>
    <row r="981" spans="1:26" ht="18" customHeight="1" x14ac:dyDescent="0.15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</row>
    <row r="982" spans="1:26" ht="18" customHeight="1" x14ac:dyDescent="0.15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</row>
    <row r="983" spans="1:26" ht="18" customHeight="1" x14ac:dyDescent="0.15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</row>
    <row r="984" spans="1:26" ht="18" customHeight="1" x14ac:dyDescent="0.15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</row>
    <row r="985" spans="1:26" ht="18" customHeight="1" x14ac:dyDescent="0.15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</row>
    <row r="986" spans="1:26" ht="18" customHeight="1" x14ac:dyDescent="0.15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</row>
    <row r="987" spans="1:26" ht="18" customHeight="1" x14ac:dyDescent="0.15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</row>
    <row r="988" spans="1:26" ht="18" customHeight="1" x14ac:dyDescent="0.15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</row>
    <row r="989" spans="1:26" ht="18" customHeight="1" x14ac:dyDescent="0.15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</row>
    <row r="990" spans="1:26" ht="18" customHeight="1" x14ac:dyDescent="0.15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</row>
    <row r="991" spans="1:26" ht="18" customHeight="1" x14ac:dyDescent="0.15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</row>
    <row r="992" spans="1:26" ht="18" customHeight="1" x14ac:dyDescent="0.15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</row>
    <row r="993" spans="1:26" ht="18" customHeight="1" x14ac:dyDescent="0.15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</row>
    <row r="994" spans="1:26" ht="18" customHeight="1" x14ac:dyDescent="0.15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</row>
    <row r="995" spans="1:26" ht="18" customHeight="1" x14ac:dyDescent="0.15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</row>
    <row r="996" spans="1:26" ht="18" customHeight="1" x14ac:dyDescent="0.15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</row>
    <row r="997" spans="1:26" ht="18" customHeight="1" x14ac:dyDescent="0.15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</row>
    <row r="998" spans="1:26" ht="18" customHeight="1" x14ac:dyDescent="0.15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</row>
    <row r="999" spans="1:26" ht="18" customHeight="1" x14ac:dyDescent="0.15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</row>
    <row r="1000" spans="1:26" ht="18" customHeight="1" x14ac:dyDescent="0.15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توصيف المقرر التدريبي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عبدالمجيد احمد المشيقح</dc:creator>
  <dcterms:created xsi:type="dcterms:W3CDTF">2026-04-07T23:03:43Z</dcterms:created>
</cp:coreProperties>
</file>